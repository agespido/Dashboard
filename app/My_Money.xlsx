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https://d.docs.live.net/0c21019d2e71203b/Documents/Dinero/"/>
    </mc:Choice>
  </mc:AlternateContent>
  <xr:revisionPtr revIDLastSave="1203" documentId="13_ncr:20001_{0FA7EEAC-DE37-8548-B268-752E82C905F8}" xr6:coauthVersionLast="47" xr6:coauthVersionMax="47" xr10:uidLastSave="{967BD94F-E905-4F4C-8CD8-9EF09437E681}"/>
  <bookViews>
    <workbookView xWindow="0" yWindow="500" windowWidth="28800" windowHeight="17500" xr2:uid="{00000000-000D-0000-FFFF-FFFF00000000}"/>
  </bookViews>
  <sheets>
    <sheet name="My Money" sheetId="3" r:id="rId1"/>
    <sheet name="Chart" sheetId="4" r:id="rId2"/>
    <sheet name="Year Summary" sheetId="9" r:id="rId3"/>
    <sheet name="Metadata" sheetId="6" r:id="rId4"/>
    <sheet name="Raw Data" sheetId="8" r:id="rId5"/>
  </sheets>
  <definedNames>
    <definedName name="_xlnm._FilterDatabase" localSheetId="0" hidden="1">'My Money'!$A$1:$A$45</definedName>
    <definedName name="_xlchart.v1.0" hidden="1">'My Money'!$I$1</definedName>
    <definedName name="_xlchart.v1.1" hidden="1">'My Money'!$I$3:$I$80</definedName>
    <definedName name="data_1" localSheetId="4">'Raw Data'!$A$1:$E$77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6" i="3" l="1"/>
  <c r="B76" i="3"/>
  <c r="C76" i="3"/>
  <c r="D76" i="3"/>
  <c r="F76" i="3"/>
  <c r="G76" i="3"/>
  <c r="H76" i="3"/>
  <c r="A77" i="3"/>
  <c r="B77" i="3"/>
  <c r="C77" i="3"/>
  <c r="D77" i="3"/>
  <c r="F77" i="3"/>
  <c r="G77" i="3"/>
  <c r="H77" i="3"/>
  <c r="A78" i="3"/>
  <c r="B78" i="3"/>
  <c r="H78" i="3" s="1"/>
  <c r="C78" i="3"/>
  <c r="D78" i="3"/>
  <c r="G78" i="3"/>
  <c r="A79" i="3"/>
  <c r="B79" i="3"/>
  <c r="H79" i="3" s="1"/>
  <c r="C79" i="3"/>
  <c r="D79" i="3"/>
  <c r="G79" i="3"/>
  <c r="A80" i="3"/>
  <c r="B80" i="3"/>
  <c r="C80" i="3"/>
  <c r="D80" i="3"/>
  <c r="H80" i="3" s="1"/>
  <c r="G80" i="3"/>
  <c r="A75" i="3"/>
  <c r="B75" i="3"/>
  <c r="C75" i="3"/>
  <c r="D75" i="3"/>
  <c r="F75" i="3"/>
  <c r="G75" i="3"/>
  <c r="A74" i="3"/>
  <c r="B74" i="3"/>
  <c r="C74" i="3"/>
  <c r="D74" i="3"/>
  <c r="F74" i="3"/>
  <c r="G74" i="3"/>
  <c r="A73" i="3"/>
  <c r="B73" i="3"/>
  <c r="C73" i="3"/>
  <c r="D73" i="3"/>
  <c r="A72" i="3"/>
  <c r="B72" i="3"/>
  <c r="C72" i="3"/>
  <c r="D72" i="3"/>
  <c r="F72" i="3"/>
  <c r="G72" i="3"/>
  <c r="F73" i="3"/>
  <c r="G73" i="3"/>
  <c r="F71" i="3"/>
  <c r="A71" i="3"/>
  <c r="B71" i="3"/>
  <c r="C71" i="3"/>
  <c r="D71" i="3"/>
  <c r="G71" i="3"/>
  <c r="F70" i="3"/>
  <c r="A70" i="3"/>
  <c r="B70" i="3"/>
  <c r="C70" i="3"/>
  <c r="D70" i="3"/>
  <c r="G70" i="3"/>
  <c r="C8" i="9"/>
  <c r="A69" i="3"/>
  <c r="B69" i="3"/>
  <c r="C69" i="3"/>
  <c r="D69" i="3"/>
  <c r="G69" i="3"/>
  <c r="A68" i="3"/>
  <c r="B68" i="3"/>
  <c r="C68" i="3"/>
  <c r="D68" i="3"/>
  <c r="G68" i="3"/>
  <c r="B67" i="3"/>
  <c r="C67" i="3"/>
  <c r="D67" i="3"/>
  <c r="G67" i="3"/>
  <c r="A67" i="3"/>
  <c r="A66" i="3"/>
  <c r="B66" i="3"/>
  <c r="C66" i="3"/>
  <c r="D66" i="3"/>
  <c r="G66" i="3"/>
  <c r="A65" i="3"/>
  <c r="B65" i="3"/>
  <c r="C65" i="3"/>
  <c r="D65" i="3"/>
  <c r="G65" i="3"/>
  <c r="D64" i="3"/>
  <c r="C64" i="3"/>
  <c r="B64" i="3"/>
  <c r="A64" i="3"/>
  <c r="G64" i="3"/>
  <c r="B63" i="3"/>
  <c r="C63" i="3"/>
  <c r="D63" i="3"/>
  <c r="G63" i="3"/>
  <c r="A63" i="3"/>
  <c r="G62" i="3"/>
  <c r="D62" i="3"/>
  <c r="C62" i="3"/>
  <c r="B62" i="3"/>
  <c r="A62" i="3"/>
  <c r="G61" i="3"/>
  <c r="D61" i="3"/>
  <c r="C61" i="3"/>
  <c r="B61" i="3"/>
  <c r="A61" i="3"/>
  <c r="G60" i="3"/>
  <c r="D60" i="3"/>
  <c r="C60" i="3"/>
  <c r="B60" i="3"/>
  <c r="A60" i="3"/>
  <c r="A59" i="3"/>
  <c r="B59" i="3"/>
  <c r="C59" i="3"/>
  <c r="D59" i="3"/>
  <c r="G59" i="3"/>
  <c r="A58" i="3"/>
  <c r="B58" i="3"/>
  <c r="C58" i="3"/>
  <c r="D58" i="3"/>
  <c r="G58" i="3"/>
  <c r="A57" i="3"/>
  <c r="B57" i="3"/>
  <c r="C57" i="3"/>
  <c r="D57" i="3"/>
  <c r="G57" i="3"/>
  <c r="A56" i="3"/>
  <c r="B56" i="3"/>
  <c r="C56" i="3"/>
  <c r="D56" i="3"/>
  <c r="G56" i="3"/>
  <c r="A55" i="3"/>
  <c r="B55" i="3"/>
  <c r="C55" i="3"/>
  <c r="D55" i="3"/>
  <c r="G55" i="3"/>
  <c r="A54" i="3"/>
  <c r="B54" i="3"/>
  <c r="C54" i="3"/>
  <c r="D54" i="3"/>
  <c r="G54" i="3"/>
  <c r="A53" i="3"/>
  <c r="B53" i="3"/>
  <c r="C53" i="3"/>
  <c r="D53" i="3"/>
  <c r="G53" i="3"/>
  <c r="A52" i="3"/>
  <c r="B52" i="3"/>
  <c r="C52" i="3"/>
  <c r="D52" i="3"/>
  <c r="G52" i="3"/>
  <c r="A51" i="3"/>
  <c r="B51" i="3"/>
  <c r="C51" i="3"/>
  <c r="D51" i="3"/>
  <c r="G51" i="3"/>
  <c r="G50" i="3"/>
  <c r="D50" i="3"/>
  <c r="C50" i="3"/>
  <c r="B50" i="3"/>
  <c r="A50" i="3"/>
  <c r="A49" i="3"/>
  <c r="B49" i="3"/>
  <c r="C49" i="3"/>
  <c r="D49" i="3"/>
  <c r="G49" i="3"/>
  <c r="A48" i="3"/>
  <c r="B48" i="3"/>
  <c r="C48" i="3"/>
  <c r="D48" i="3"/>
  <c r="G48" i="3"/>
  <c r="A47" i="3"/>
  <c r="B47" i="3"/>
  <c r="C47" i="3"/>
  <c r="D47" i="3"/>
  <c r="G47" i="3"/>
  <c r="A46" i="3"/>
  <c r="B46" i="3"/>
  <c r="C46" i="3"/>
  <c r="D46" i="3"/>
  <c r="G46" i="3"/>
  <c r="A2" i="9"/>
  <c r="A3" i="9" s="1"/>
  <c r="A4" i="9" s="1"/>
  <c r="A5" i="9" s="1"/>
  <c r="A6" i="9" s="1"/>
  <c r="A10" i="3"/>
  <c r="A45" i="3"/>
  <c r="B45" i="3"/>
  <c r="C45" i="3"/>
  <c r="D45" i="3"/>
  <c r="G45" i="3"/>
  <c r="A44" i="3"/>
  <c r="B44" i="3"/>
  <c r="C44" i="3"/>
  <c r="D44" i="3"/>
  <c r="G44" i="3"/>
  <c r="A41" i="3"/>
  <c r="B41" i="3"/>
  <c r="C41" i="3"/>
  <c r="D41" i="3"/>
  <c r="G41" i="3"/>
  <c r="A42" i="3"/>
  <c r="B42" i="3"/>
  <c r="C42" i="3"/>
  <c r="D42" i="3"/>
  <c r="G42" i="3"/>
  <c r="A43" i="3"/>
  <c r="B43" i="3"/>
  <c r="C43" i="3"/>
  <c r="D43" i="3"/>
  <c r="G43" i="3"/>
  <c r="A2" i="3"/>
  <c r="A3" i="3"/>
  <c r="A40" i="3"/>
  <c r="B40" i="3"/>
  <c r="C40" i="3"/>
  <c r="D40" i="3"/>
  <c r="G40" i="3"/>
  <c r="B4" i="6"/>
  <c r="B3" i="6"/>
  <c r="B2" i="6"/>
  <c r="B1" i="6"/>
  <c r="C4" i="6" a="1"/>
  <c r="C4" i="6" s="1"/>
  <c r="C3" i="6" a="1"/>
  <c r="C3" i="6" s="1"/>
  <c r="C2" i="6" a="1"/>
  <c r="C2" i="6" s="1"/>
  <c r="C1" i="6" a="1"/>
  <c r="C1" i="6" s="1"/>
  <c r="B2" i="3"/>
  <c r="C2" i="3"/>
  <c r="D2" i="3"/>
  <c r="G2" i="3"/>
  <c r="B3" i="3"/>
  <c r="C3" i="3"/>
  <c r="D3" i="3"/>
  <c r="G3" i="3"/>
  <c r="A4" i="3"/>
  <c r="B4" i="3"/>
  <c r="C4" i="3"/>
  <c r="D4" i="3"/>
  <c r="G4" i="3"/>
  <c r="A5" i="3"/>
  <c r="B5" i="3"/>
  <c r="C5" i="3"/>
  <c r="D5" i="3"/>
  <c r="G5" i="3"/>
  <c r="A6" i="3"/>
  <c r="B6" i="3"/>
  <c r="C6" i="3"/>
  <c r="D6" i="3"/>
  <c r="G6" i="3"/>
  <c r="A7" i="3"/>
  <c r="B7" i="3"/>
  <c r="C7" i="3"/>
  <c r="D7" i="3"/>
  <c r="G7" i="3"/>
  <c r="A8" i="3"/>
  <c r="B8" i="3"/>
  <c r="C8" i="3"/>
  <c r="D8" i="3"/>
  <c r="G8" i="3"/>
  <c r="A9" i="3"/>
  <c r="B9" i="3"/>
  <c r="C9" i="3"/>
  <c r="D9" i="3"/>
  <c r="G9" i="3"/>
  <c r="B10" i="3"/>
  <c r="C10" i="3"/>
  <c r="D10" i="3"/>
  <c r="G10" i="3"/>
  <c r="A11" i="3"/>
  <c r="B11" i="3"/>
  <c r="C11" i="3"/>
  <c r="D11" i="3"/>
  <c r="G11" i="3"/>
  <c r="A12" i="3"/>
  <c r="B12" i="3"/>
  <c r="C12" i="3"/>
  <c r="D12" i="3"/>
  <c r="G12" i="3"/>
  <c r="A13" i="3"/>
  <c r="B13" i="3"/>
  <c r="C13" i="3"/>
  <c r="D13" i="3"/>
  <c r="G13" i="3"/>
  <c r="A14" i="3"/>
  <c r="B14" i="3"/>
  <c r="C14" i="3"/>
  <c r="D14" i="3"/>
  <c r="G14" i="3"/>
  <c r="A15" i="3"/>
  <c r="B15" i="3"/>
  <c r="C15" i="3"/>
  <c r="D15" i="3"/>
  <c r="G15" i="3"/>
  <c r="A16" i="3"/>
  <c r="B16" i="3"/>
  <c r="C16" i="3"/>
  <c r="D16" i="3"/>
  <c r="G16" i="3"/>
  <c r="A17" i="3"/>
  <c r="B17" i="3"/>
  <c r="C17" i="3"/>
  <c r="D17" i="3"/>
  <c r="G17" i="3"/>
  <c r="A18" i="3"/>
  <c r="B18" i="3"/>
  <c r="C18" i="3"/>
  <c r="D18" i="3"/>
  <c r="G18" i="3"/>
  <c r="A19" i="3"/>
  <c r="B19" i="3"/>
  <c r="C19" i="3"/>
  <c r="D19" i="3"/>
  <c r="G19" i="3"/>
  <c r="A20" i="3"/>
  <c r="B20" i="3"/>
  <c r="C20" i="3"/>
  <c r="D20" i="3"/>
  <c r="G20" i="3"/>
  <c r="A21" i="3"/>
  <c r="B21" i="3"/>
  <c r="C21" i="3"/>
  <c r="D21" i="3"/>
  <c r="G21" i="3"/>
  <c r="A22" i="3"/>
  <c r="B22" i="3"/>
  <c r="C22" i="3"/>
  <c r="D22" i="3"/>
  <c r="G22" i="3"/>
  <c r="A23" i="3"/>
  <c r="B23" i="3"/>
  <c r="C23" i="3"/>
  <c r="D23" i="3"/>
  <c r="G23" i="3"/>
  <c r="A24" i="3"/>
  <c r="B24" i="3"/>
  <c r="C24" i="3"/>
  <c r="D24" i="3"/>
  <c r="G24" i="3"/>
  <c r="A25" i="3"/>
  <c r="B25" i="3"/>
  <c r="C25" i="3"/>
  <c r="D25" i="3"/>
  <c r="G25" i="3"/>
  <c r="A26" i="3"/>
  <c r="B26" i="3"/>
  <c r="C26" i="3"/>
  <c r="D26" i="3"/>
  <c r="G26" i="3"/>
  <c r="A27" i="3"/>
  <c r="B27" i="3"/>
  <c r="C27" i="3"/>
  <c r="D27" i="3"/>
  <c r="G27" i="3"/>
  <c r="A28" i="3"/>
  <c r="B28" i="3"/>
  <c r="C28" i="3"/>
  <c r="D28" i="3"/>
  <c r="G28" i="3"/>
  <c r="A29" i="3"/>
  <c r="B29" i="3"/>
  <c r="C29" i="3"/>
  <c r="D29" i="3"/>
  <c r="G29" i="3"/>
  <c r="A30" i="3"/>
  <c r="B30" i="3"/>
  <c r="C30" i="3"/>
  <c r="D30" i="3"/>
  <c r="G30" i="3"/>
  <c r="A31" i="3"/>
  <c r="B31" i="3"/>
  <c r="C31" i="3"/>
  <c r="D31" i="3"/>
  <c r="G31" i="3"/>
  <c r="A32" i="3"/>
  <c r="B32" i="3"/>
  <c r="C32" i="3"/>
  <c r="D32" i="3"/>
  <c r="G32" i="3"/>
  <c r="A33" i="3"/>
  <c r="B33" i="3"/>
  <c r="C33" i="3"/>
  <c r="D33" i="3"/>
  <c r="G33" i="3"/>
  <c r="A34" i="3"/>
  <c r="B34" i="3"/>
  <c r="C34" i="3"/>
  <c r="D34" i="3"/>
  <c r="G34" i="3"/>
  <c r="A35" i="3"/>
  <c r="B35" i="3"/>
  <c r="C35" i="3"/>
  <c r="D35" i="3"/>
  <c r="G35" i="3"/>
  <c r="A36" i="3"/>
  <c r="B36" i="3"/>
  <c r="C36" i="3"/>
  <c r="D36" i="3"/>
  <c r="G36" i="3"/>
  <c r="A37" i="3"/>
  <c r="B37" i="3"/>
  <c r="C37" i="3"/>
  <c r="D37" i="3"/>
  <c r="G37" i="3"/>
  <c r="A38" i="3"/>
  <c r="B38" i="3"/>
  <c r="C38" i="3"/>
  <c r="D38" i="3"/>
  <c r="G38" i="3"/>
  <c r="A39" i="3"/>
  <c r="B39" i="3"/>
  <c r="C39" i="3"/>
  <c r="H39" i="3" s="1"/>
  <c r="D39" i="3"/>
  <c r="G39" i="3"/>
  <c r="A1" i="6"/>
  <c r="A2" i="6"/>
  <c r="A3" i="6"/>
  <c r="A4" i="6"/>
  <c r="A8" i="6"/>
  <c r="H46" i="3"/>
  <c r="C5" i="9" s="1"/>
  <c r="H66" i="3"/>
  <c r="H62" i="3"/>
  <c r="I77" i="3" l="1"/>
  <c r="I78" i="3"/>
  <c r="I79" i="3"/>
  <c r="I80" i="3"/>
  <c r="H48" i="3"/>
  <c r="H50" i="3"/>
  <c r="H51" i="3"/>
  <c r="I51" i="3" s="1"/>
  <c r="H58" i="3"/>
  <c r="C6" i="9" s="1"/>
  <c r="D6" i="9" s="1"/>
  <c r="B7" i="9" s="1"/>
  <c r="H59" i="3"/>
  <c r="H60" i="3"/>
  <c r="H61" i="3"/>
  <c r="I61" i="3" s="1"/>
  <c r="H67" i="3"/>
  <c r="I67" i="3" s="1"/>
  <c r="H75" i="3"/>
  <c r="I76" i="3" s="1"/>
  <c r="J78" i="3" s="1"/>
  <c r="H13" i="3"/>
  <c r="H45" i="3"/>
  <c r="I46" i="3" s="1"/>
  <c r="H74" i="3"/>
  <c r="H29" i="3"/>
  <c r="H26" i="3"/>
  <c r="H15" i="3"/>
  <c r="H12" i="3"/>
  <c r="I13" i="3" s="1"/>
  <c r="H9" i="3"/>
  <c r="H6" i="3"/>
  <c r="H2" i="3"/>
  <c r="H37" i="3"/>
  <c r="H33" i="3"/>
  <c r="H22" i="3"/>
  <c r="C3" i="9" s="1"/>
  <c r="H18" i="3"/>
  <c r="H40" i="3"/>
  <c r="H65" i="3"/>
  <c r="I66" i="3" s="1"/>
  <c r="H68" i="3"/>
  <c r="H43" i="3"/>
  <c r="H44" i="3"/>
  <c r="H31" i="3"/>
  <c r="H19" i="3"/>
  <c r="H14" i="3"/>
  <c r="H42" i="3"/>
  <c r="H41" i="3"/>
  <c r="H56" i="3"/>
  <c r="H57" i="3"/>
  <c r="H35" i="3"/>
  <c r="H34" i="3"/>
  <c r="H28" i="3"/>
  <c r="H24" i="3"/>
  <c r="H20" i="3"/>
  <c r="H16" i="3"/>
  <c r="H8" i="3"/>
  <c r="H4" i="3"/>
  <c r="H47" i="3"/>
  <c r="I48" i="3" s="1"/>
  <c r="H53" i="3"/>
  <c r="H63" i="3"/>
  <c r="I63" i="3" s="1"/>
  <c r="H64" i="3"/>
  <c r="H69" i="3"/>
  <c r="H11" i="3"/>
  <c r="H54" i="3"/>
  <c r="H73" i="3"/>
  <c r="I74" i="3" s="1"/>
  <c r="H72" i="3"/>
  <c r="H71" i="3"/>
  <c r="H70" i="3"/>
  <c r="I40" i="3"/>
  <c r="I60" i="3"/>
  <c r="H36" i="3"/>
  <c r="H27" i="3"/>
  <c r="H23" i="3"/>
  <c r="H17" i="3"/>
  <c r="H38" i="3"/>
  <c r="H25" i="3"/>
  <c r="H21" i="3"/>
  <c r="H10" i="3"/>
  <c r="H7" i="3"/>
  <c r="H52" i="3"/>
  <c r="H55" i="3"/>
  <c r="H49" i="3"/>
  <c r="H32" i="3"/>
  <c r="H30" i="3"/>
  <c r="H5" i="3"/>
  <c r="H3" i="3"/>
  <c r="I68" i="3" l="1"/>
  <c r="I59" i="3"/>
  <c r="J79" i="3"/>
  <c r="J80" i="3"/>
  <c r="I69" i="3"/>
  <c r="I75" i="3"/>
  <c r="I62" i="3"/>
  <c r="I26" i="3"/>
  <c r="I45" i="3"/>
  <c r="I14" i="3"/>
  <c r="I44" i="3"/>
  <c r="I9" i="3"/>
  <c r="I29" i="3"/>
  <c r="I22" i="3"/>
  <c r="I47" i="3"/>
  <c r="I12" i="3"/>
  <c r="I34" i="3"/>
  <c r="I41" i="3"/>
  <c r="I18" i="3"/>
  <c r="I19" i="3"/>
  <c r="I16" i="3"/>
  <c r="I65" i="3"/>
  <c r="J76" i="3" s="1"/>
  <c r="C4" i="9"/>
  <c r="D5" i="9" s="1"/>
  <c r="B6" i="9" s="1"/>
  <c r="I4" i="3"/>
  <c r="I54" i="3"/>
  <c r="I15" i="3"/>
  <c r="I35" i="3"/>
  <c r="I71" i="3"/>
  <c r="I64" i="3"/>
  <c r="I57" i="3"/>
  <c r="I72" i="3"/>
  <c r="I24" i="3"/>
  <c r="I73" i="3"/>
  <c r="I28" i="3"/>
  <c r="C7" i="9"/>
  <c r="I70" i="3"/>
  <c r="I20" i="3"/>
  <c r="I42" i="3"/>
  <c r="I58" i="3"/>
  <c r="I43" i="3"/>
  <c r="I37" i="3"/>
  <c r="I36" i="3"/>
  <c r="I5" i="3"/>
  <c r="I6" i="3"/>
  <c r="I38" i="3"/>
  <c r="C8" i="6" a="1"/>
  <c r="C8" i="6" s="1"/>
  <c r="I30" i="3"/>
  <c r="I31" i="3"/>
  <c r="I49" i="3"/>
  <c r="I50" i="3"/>
  <c r="I17" i="3"/>
  <c r="I32" i="3"/>
  <c r="I55" i="3"/>
  <c r="I56" i="3"/>
  <c r="I8" i="3"/>
  <c r="I7" i="3"/>
  <c r="I23" i="3"/>
  <c r="I39" i="3"/>
  <c r="I25" i="3"/>
  <c r="B3" i="9"/>
  <c r="I3" i="3"/>
  <c r="I53" i="3"/>
  <c r="I52" i="3"/>
  <c r="C2" i="9"/>
  <c r="D2" i="9" s="1"/>
  <c r="I10" i="3"/>
  <c r="I11" i="3"/>
  <c r="I21" i="3"/>
  <c r="I27" i="3"/>
  <c r="I33" i="3"/>
  <c r="J77" i="3" l="1"/>
  <c r="D4" i="9"/>
  <c r="B5" i="9" s="1"/>
  <c r="J75" i="3"/>
  <c r="J69" i="3"/>
  <c r="J74" i="3"/>
  <c r="J7" i="3"/>
  <c r="J51" i="3"/>
  <c r="J71" i="3"/>
  <c r="J73" i="3"/>
  <c r="J70" i="3"/>
  <c r="J23" i="3"/>
  <c r="J72" i="3"/>
  <c r="D7" i="9"/>
  <c r="B8" i="9" s="1"/>
  <c r="D8" i="9"/>
  <c r="J68" i="3"/>
  <c r="J37" i="3"/>
  <c r="J3" i="3"/>
  <c r="J67" i="3"/>
  <c r="J52" i="3"/>
  <c r="J62" i="3"/>
  <c r="J20" i="3"/>
  <c r="J27" i="3"/>
  <c r="J56" i="3"/>
  <c r="J64" i="3"/>
  <c r="J17" i="3"/>
  <c r="J36" i="3"/>
  <c r="J44" i="3"/>
  <c r="J43" i="3"/>
  <c r="D3" i="9"/>
  <c r="B4" i="9" s="1"/>
  <c r="J22" i="3"/>
  <c r="J42" i="3"/>
  <c r="J31" i="3"/>
  <c r="J21" i="3"/>
  <c r="J25" i="3"/>
  <c r="J58" i="3"/>
  <c r="J19" i="3"/>
  <c r="J66" i="3"/>
  <c r="J65" i="3"/>
  <c r="J28" i="3"/>
  <c r="J26" i="3"/>
  <c r="J60" i="3"/>
  <c r="J59" i="3"/>
  <c r="J57" i="3"/>
  <c r="J29" i="3"/>
  <c r="J35" i="3"/>
  <c r="J38" i="3"/>
  <c r="J16" i="3"/>
  <c r="J47" i="3"/>
  <c r="J45" i="3"/>
  <c r="J33" i="3"/>
  <c r="J39" i="3"/>
  <c r="J10" i="3"/>
  <c r="J63" i="3"/>
  <c r="J12" i="3"/>
  <c r="J8" i="3"/>
  <c r="J6" i="3"/>
  <c r="J9" i="3"/>
  <c r="J13" i="3"/>
  <c r="J4" i="3"/>
  <c r="J14" i="3"/>
  <c r="J11" i="3"/>
  <c r="J50" i="3"/>
  <c r="J34" i="3"/>
  <c r="J55" i="3"/>
  <c r="J32" i="3"/>
  <c r="J61" i="3"/>
  <c r="J30" i="3"/>
  <c r="J46" i="3"/>
  <c r="J48" i="3"/>
  <c r="J24" i="3"/>
  <c r="J54" i="3"/>
  <c r="J18" i="3"/>
  <c r="J49" i="3"/>
  <c r="J41" i="3"/>
  <c r="J40" i="3"/>
  <c r="J53" i="3"/>
  <c r="J5" i="3"/>
  <c r="J1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data" type="6" refreshedVersion="8" background="1" saveData="1">
    <textPr sourceFile="/Users/asier/Repos/Plutus/database/data.csv" tab="0" comma="1">
      <textFields count="6"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<sst xmlns="http://schemas.openxmlformats.org/spreadsheetml/2006/main" count="19" uniqueCount="16">
  <si>
    <t>Total</t>
  </si>
  <si>
    <t>Stocks</t>
  </si>
  <si>
    <t>Blocked</t>
  </si>
  <si>
    <t>Date</t>
  </si>
  <si>
    <t>Cash</t>
  </si>
  <si>
    <t>Crypto</t>
  </si>
  <si>
    <t xml:space="preserve"> Cash </t>
  </si>
  <si>
    <t xml:space="preserve"> Stocks </t>
  </si>
  <si>
    <t xml:space="preserve"> Crypto </t>
  </si>
  <si>
    <t>Balance of the month</t>
  </si>
  <si>
    <t>MA 12m</t>
  </si>
  <si>
    <t>Year</t>
  </si>
  <si>
    <t>Change since last year</t>
  </si>
  <si>
    <t>Forecast</t>
  </si>
  <si>
    <t>Debt</t>
  </si>
  <si>
    <t>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</si>
</sst>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€-C0A]_-;\-* #,##0.00\ [$€-C0A]_-;_-* &quot;-&quot;??\ [$€-C0A]_-;_-@_-"/>
    <numFmt numFmtId="165" formatCode="[$-C0A]mmmm\-yy;@"/>
  </numFmts>
  <fonts count="7" x14ac:knownFonts="1">
    <font>
      <sz val="10"/>
      <color indexed="8"/>
      <name val="Helvetica Neue"/>
    </font>
    <font>
      <b/>
      <sz val="12"/>
      <color indexed="8"/>
      <name val="Helvetica Neue"/>
      <family val="2"/>
    </font>
    <font>
      <sz val="12"/>
      <color indexed="8"/>
      <name val="Helvetica Neue"/>
      <family val="2"/>
    </font>
    <font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2">
    <border>
      <left/>
      <right/>
      <top/>
      <bottom/>
      <diagonal/>
    </border>
    <border>
      <left style="thin">
        <color indexed="15"/>
      </left>
      <right style="thin">
        <color indexed="15"/>
      </right>
      <top/>
      <bottom/>
      <diagonal/>
    </border>
  </borders>
  <cellStyleXfs count="3">
    <xf numFmtId="0" fontId="0" fillId="0" borderId="0" applyNumberFormat="0" applyFill="0" applyBorder="0" applyProtection="0">
      <alignment vertical="top" wrapText="1"/>
    </xf>
    <xf numFmtId="44" fontId="4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9">
    <xf numFmtId="0" fontId="0" fillId="0" borderId="0" xfId="0">
      <alignment vertical="top" wrapText="1"/>
    </xf>
    <xf numFmtId="0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0" fontId="3" fillId="0" borderId="0" xfId="0" applyFont="1">
      <alignment vertical="top" wrapText="1"/>
    </xf>
    <xf numFmtId="14" fontId="0" fillId="0" borderId="0" xfId="0" applyNumberFormat="1">
      <alignment vertical="top" wrapText="1"/>
    </xf>
    <xf numFmtId="165" fontId="1" fillId="0" borderId="0" xfId="0" applyNumberFormat="1" applyFont="1" applyAlignment="1">
      <alignment vertical="top"/>
    </xf>
    <xf numFmtId="165" fontId="1" fillId="2" borderId="1" xfId="0" applyNumberFormat="1" applyFont="1" applyFill="1" applyBorder="1" applyAlignment="1">
      <alignment horizontal="center" vertical="top" wrapText="1"/>
    </xf>
    <xf numFmtId="44" fontId="0" fillId="0" borderId="0" xfId="1" applyFont="1" applyAlignment="1">
      <alignment vertical="top" wrapText="1"/>
    </xf>
    <xf numFmtId="43" fontId="1" fillId="2" borderId="1" xfId="2" applyFont="1" applyFill="1" applyBorder="1" applyAlignment="1">
      <alignment horizontal="center" vertical="top" wrapText="1"/>
    </xf>
    <xf numFmtId="164" fontId="2" fillId="3" borderId="0" xfId="2" applyNumberFormat="1" applyFont="1" applyFill="1" applyBorder="1" applyAlignment="1">
      <alignment vertical="top" wrapText="1"/>
    </xf>
    <xf numFmtId="164" fontId="2" fillId="4" borderId="0" xfId="2" applyNumberFormat="1" applyFont="1" applyFill="1" applyBorder="1" applyAlignment="1">
      <alignment vertical="top" wrapText="1"/>
    </xf>
    <xf numFmtId="164" fontId="2" fillId="3" borderId="0" xfId="2" applyNumberFormat="1" applyFont="1" applyFill="1" applyBorder="1" applyAlignment="1">
      <alignment vertical="top"/>
    </xf>
    <xf numFmtId="164" fontId="2" fillId="4" borderId="0" xfId="2" applyNumberFormat="1" applyFont="1" applyFill="1" applyBorder="1" applyAlignment="1">
      <alignment vertical="top"/>
    </xf>
    <xf numFmtId="0" fontId="0" fillId="0" borderId="0" xfId="0" applyNumberFormat="1">
      <alignment vertical="top" wrapText="1"/>
    </xf>
    <xf numFmtId="0" fontId="3" fillId="0" borderId="0" xfId="0" applyNumberFormat="1" applyFont="1">
      <alignment vertical="top" wrapText="1"/>
    </xf>
    <xf numFmtId="44" fontId="3" fillId="0" borderId="0" xfId="1" applyFont="1" applyAlignment="1">
      <alignment vertical="top" wrapText="1"/>
    </xf>
    <xf numFmtId="2" fontId="0" fillId="0" borderId="0" xfId="0" applyNumberFormat="1">
      <alignment vertical="top" wrapText="1"/>
    </xf>
    <xf numFmtId="1" fontId="0" fillId="0" borderId="0" xfId="0" applyNumberFormat="1">
      <alignment vertical="top" wrapText="1"/>
    </xf>
    <xf numFmtId="1" fontId="3" fillId="0" borderId="0" xfId="0" applyNumberFormat="1" applyFont="1">
      <alignment vertical="top" wrapText="1"/>
    </xf>
  </cellXfs>
  <cellStyles count="3">
    <cellStyle name="Millares" xfId="2" builtinId="3"/>
    <cellStyle name="Moneda" xfId="1" builtinId="4"/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4" formatCode="_-* #,##0.00\ &quot;€&quot;_-;\-* #,##0.00\ &quot;€&quot;_-;_-* &quot;-&quot;??\ &quot;€&quot;_-;_-@_-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1" formatCode="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Helvetica Neue"/>
        <family val="2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Helvetica Neue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Helvetica Neue"/>
        <family val="2"/>
        <scheme val="none"/>
      </font>
      <numFmt numFmtId="164" formatCode="_-* #,##0.00\ [$€-C0A]_-;\-* #,##0.00\ [$€-C0A]_-;_-* &quot;-&quot;??\ [$€-C0A]_-;_-@_-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Helvetica Neue"/>
        <family val="2"/>
        <scheme val="none"/>
      </font>
      <numFmt numFmtId="164" formatCode="_-* #,##0.00\ [$€-C0A]_-;\-* #,##0.00\ [$€-C0A]_-;_-* &quot;-&quot;??\ [$€-C0A]_-;_-@_-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Helvetica Neue"/>
        <family val="2"/>
        <scheme val="none"/>
      </font>
      <numFmt numFmtId="164" formatCode="_-* #,##0.00\ [$€-C0A]_-;\-* #,##0.00\ [$€-C0A]_-;_-* &quot;-&quot;??\ [$€-C0A]_-;_-@_-"/>
      <fill>
        <patternFill patternType="solid">
          <fgColor indexed="64"/>
          <bgColor indexed="2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Helvetica Neue"/>
        <family val="2"/>
        <scheme val="none"/>
      </font>
      <numFmt numFmtId="164" formatCode="_-* #,##0.00\ [$€-C0A]_-;\-* #,##0.00\ [$€-C0A]_-;_-* &quot;-&quot;??\ [$€-C0A]_-;_-@_-"/>
      <fill>
        <patternFill patternType="solid">
          <fgColor indexed="64"/>
          <bgColor indexed="2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Helvetica Neue"/>
        <family val="2"/>
        <scheme val="none"/>
      </font>
      <numFmt numFmtId="164" formatCode="_-* #,##0.00\ [$€-C0A]_-;\-* #,##0.00\ [$€-C0A]_-;_-* &quot;-&quot;??\ [$€-C0A]_-;_-@_-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Helvetica Neue"/>
        <family val="2"/>
        <scheme val="none"/>
      </font>
      <numFmt numFmtId="164" formatCode="_-* #,##0.00\ [$€-C0A]_-;\-* #,##0.00\ [$€-C0A]_-;_-* &quot;-&quot;??\ [$€-C0A]_-;_-@_-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Helvetica Neue"/>
        <family val="2"/>
        <scheme val="none"/>
      </font>
      <numFmt numFmtId="164" formatCode="_-* #,##0.00\ [$€-C0A]_-;\-* #,##0.00\ [$€-C0A]_-;_-* &quot;-&quot;??\ [$€-C0A]_-;_-@_-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Helvetica Neue"/>
        <family val="2"/>
        <scheme val="none"/>
      </font>
      <numFmt numFmtId="165" formatCode="[$-C0A]mmmm\-yy;@"/>
      <alignment horizontal="general" vertical="top" textRotation="0" wrapText="0" indent="0" justifyLastLine="0" shrinkToFit="0" readingOrder="0"/>
    </dxf>
    <dxf>
      <border outline="0">
        <top style="thin">
          <color indexed="1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Helvetica Neue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Helvetica Neue"/>
        <family val="2"/>
        <scheme val="none"/>
      </font>
      <numFmt numFmtId="164" formatCode="_-* #,##0.00\ [$€-C0A]_-;\-* #,##0.00\ [$€-C0A]_-;_-* &quot;-&quot;??\ [$€-C0A]_-;_-@_-"/>
      <fill>
        <patternFill patternType="solid">
          <fgColor indexed="64"/>
          <bgColor indexed="19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15"/>
        </left>
        <right style="thin">
          <color indexed="15"/>
        </right>
        <top/>
        <bottom/>
      </border>
    </dxf>
  </dxfs>
  <tableStyles count="2">
    <tableStyle name="Estilo de tabla 1" pivot="0" count="0" xr9:uid="{3233CBC4-196D-FF47-A08B-333761870C1B}"/>
    <tableStyle name="Estilo de tabla 2" pivot="0" count="0" xr9:uid="{E4F7FC82-4B3E-3943-83B0-5C7984C6B4D9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AAAAAA"/>
      <rgbColor rgb="FFA7A7A7"/>
      <rgbColor rgb="FFB8B8B8"/>
      <rgbColor rgb="FFFFFFFF"/>
      <rgbColor rgb="FF0076B9"/>
      <rgbColor rgb="FF1DB000"/>
      <rgbColor rgb="FFFD9300"/>
      <rgbColor rgb="FF00A2FF"/>
      <rgbColor rgb="FFCADFFF"/>
      <rgbColor rgb="FFE6EFFF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'My Money'!$A$2:$A$80</c:f>
              <c:numCache>
                <c:formatCode>[$-C0A]mmmm\-yy;@</c:formatCode>
                <c:ptCount val="76"/>
                <c:pt idx="0">
                  <c:v>43221</c:v>
                </c:pt>
                <c:pt idx="1">
                  <c:v>43252</c:v>
                </c:pt>
                <c:pt idx="2">
                  <c:v>43282</c:v>
                </c:pt>
                <c:pt idx="3">
                  <c:v>43313</c:v>
                </c:pt>
                <c:pt idx="4">
                  <c:v>43344</c:v>
                </c:pt>
                <c:pt idx="5">
                  <c:v>43374</c:v>
                </c:pt>
                <c:pt idx="6">
                  <c:v>43405</c:v>
                </c:pt>
                <c:pt idx="7">
                  <c:v>43435</c:v>
                </c:pt>
                <c:pt idx="8">
                  <c:v>43466</c:v>
                </c:pt>
                <c:pt idx="9">
                  <c:v>43497</c:v>
                </c:pt>
                <c:pt idx="10">
                  <c:v>43525</c:v>
                </c:pt>
                <c:pt idx="11">
                  <c:v>43556</c:v>
                </c:pt>
                <c:pt idx="12">
                  <c:v>43586</c:v>
                </c:pt>
                <c:pt idx="13">
                  <c:v>43617</c:v>
                </c:pt>
                <c:pt idx="14">
                  <c:v>43647</c:v>
                </c:pt>
                <c:pt idx="15">
                  <c:v>43678</c:v>
                </c:pt>
                <c:pt idx="16">
                  <c:v>43709</c:v>
                </c:pt>
                <c:pt idx="17">
                  <c:v>43739</c:v>
                </c:pt>
                <c:pt idx="18">
                  <c:v>43770</c:v>
                </c:pt>
                <c:pt idx="19">
                  <c:v>43800</c:v>
                </c:pt>
                <c:pt idx="20">
                  <c:v>43831</c:v>
                </c:pt>
                <c:pt idx="21">
                  <c:v>43862</c:v>
                </c:pt>
                <c:pt idx="22">
                  <c:v>43891</c:v>
                </c:pt>
                <c:pt idx="23">
                  <c:v>43922</c:v>
                </c:pt>
                <c:pt idx="24">
                  <c:v>43952</c:v>
                </c:pt>
                <c:pt idx="25">
                  <c:v>43983</c:v>
                </c:pt>
                <c:pt idx="26">
                  <c:v>44013</c:v>
                </c:pt>
                <c:pt idx="27">
                  <c:v>44044</c:v>
                </c:pt>
                <c:pt idx="28">
                  <c:v>44075</c:v>
                </c:pt>
                <c:pt idx="29">
                  <c:v>44105</c:v>
                </c:pt>
                <c:pt idx="30">
                  <c:v>44136</c:v>
                </c:pt>
                <c:pt idx="31">
                  <c:v>44166</c:v>
                </c:pt>
                <c:pt idx="32">
                  <c:v>44197</c:v>
                </c:pt>
                <c:pt idx="33">
                  <c:v>44228</c:v>
                </c:pt>
                <c:pt idx="34">
                  <c:v>44256</c:v>
                </c:pt>
                <c:pt idx="35">
                  <c:v>44287</c:v>
                </c:pt>
                <c:pt idx="36">
                  <c:v>44317</c:v>
                </c:pt>
                <c:pt idx="37">
                  <c:v>44348</c:v>
                </c:pt>
                <c:pt idx="38">
                  <c:v>44378</c:v>
                </c:pt>
                <c:pt idx="39">
                  <c:v>44409</c:v>
                </c:pt>
                <c:pt idx="40">
                  <c:v>44440</c:v>
                </c:pt>
                <c:pt idx="41">
                  <c:v>44470</c:v>
                </c:pt>
                <c:pt idx="42">
                  <c:v>44507</c:v>
                </c:pt>
                <c:pt idx="43">
                  <c:v>44532</c:v>
                </c:pt>
                <c:pt idx="44">
                  <c:v>44563</c:v>
                </c:pt>
                <c:pt idx="45">
                  <c:v>44593</c:v>
                </c:pt>
                <c:pt idx="46">
                  <c:v>44621</c:v>
                </c:pt>
                <c:pt idx="47">
                  <c:v>44652</c:v>
                </c:pt>
                <c:pt idx="48">
                  <c:v>44683</c:v>
                </c:pt>
                <c:pt idx="49">
                  <c:v>44713</c:v>
                </c:pt>
                <c:pt idx="50">
                  <c:v>44746</c:v>
                </c:pt>
                <c:pt idx="51">
                  <c:v>44774</c:v>
                </c:pt>
                <c:pt idx="52">
                  <c:v>44805</c:v>
                </c:pt>
                <c:pt idx="53">
                  <c:v>44835</c:v>
                </c:pt>
                <c:pt idx="54">
                  <c:v>44866</c:v>
                </c:pt>
                <c:pt idx="55">
                  <c:v>44896</c:v>
                </c:pt>
                <c:pt idx="56">
                  <c:v>44927</c:v>
                </c:pt>
                <c:pt idx="57">
                  <c:v>44958</c:v>
                </c:pt>
                <c:pt idx="58">
                  <c:v>44986</c:v>
                </c:pt>
                <c:pt idx="59">
                  <c:v>45017</c:v>
                </c:pt>
                <c:pt idx="60">
                  <c:v>45049</c:v>
                </c:pt>
                <c:pt idx="61">
                  <c:v>45079</c:v>
                </c:pt>
                <c:pt idx="62">
                  <c:v>45111</c:v>
                </c:pt>
                <c:pt idx="63">
                  <c:v>45141</c:v>
                </c:pt>
                <c:pt idx="64">
                  <c:v>45171</c:v>
                </c:pt>
                <c:pt idx="65">
                  <c:v>45202</c:v>
                </c:pt>
                <c:pt idx="66">
                  <c:v>45233</c:v>
                </c:pt>
                <c:pt idx="67">
                  <c:v>45269</c:v>
                </c:pt>
                <c:pt idx="68">
                  <c:v>45294</c:v>
                </c:pt>
                <c:pt idx="69">
                  <c:v>45324</c:v>
                </c:pt>
                <c:pt idx="70">
                  <c:v>45353</c:v>
                </c:pt>
                <c:pt idx="71">
                  <c:v>45385</c:v>
                </c:pt>
                <c:pt idx="72">
                  <c:v>45416</c:v>
                </c:pt>
                <c:pt idx="73">
                  <c:v>45444</c:v>
                </c:pt>
                <c:pt idx="74">
                  <c:v>45476</c:v>
                </c:pt>
                <c:pt idx="75">
                  <c:v>45505</c:v>
                </c:pt>
              </c:numCache>
            </c:numRef>
          </c:cat>
          <c:val>
            <c:numRef>
              <c:f>'My Money'!$H$2:$H$80</c:f>
              <c:numCache>
                <c:formatCode>_-* #,##0.00\ [$€-C0A]_-;\-* #,##0.00\ [$€-C0A]_-;_-* "-"??\ [$€-C0A]_-;_-@_-</c:formatCode>
                <c:ptCount val="76"/>
                <c:pt idx="0">
                  <c:v>21333.870000000003</c:v>
                </c:pt>
                <c:pt idx="1">
                  <c:v>20937.02</c:v>
                </c:pt>
                <c:pt idx="2">
                  <c:v>22041.620000000003</c:v>
                </c:pt>
                <c:pt idx="3">
                  <c:v>22778.86</c:v>
                </c:pt>
                <c:pt idx="4">
                  <c:v>24532.940000000002</c:v>
                </c:pt>
                <c:pt idx="5">
                  <c:v>25860.93</c:v>
                </c:pt>
                <c:pt idx="6">
                  <c:v>25366.42</c:v>
                </c:pt>
                <c:pt idx="7">
                  <c:v>26219.010000000002</c:v>
                </c:pt>
                <c:pt idx="8">
                  <c:v>26314.799999999999</c:v>
                </c:pt>
                <c:pt idx="9">
                  <c:v>29570.21</c:v>
                </c:pt>
                <c:pt idx="10">
                  <c:v>31153.08</c:v>
                </c:pt>
                <c:pt idx="11">
                  <c:v>30544.21</c:v>
                </c:pt>
                <c:pt idx="12">
                  <c:v>30870.920000000002</c:v>
                </c:pt>
                <c:pt idx="13">
                  <c:v>31292.239999999998</c:v>
                </c:pt>
                <c:pt idx="14">
                  <c:v>34786.51</c:v>
                </c:pt>
                <c:pt idx="15">
                  <c:v>35169.08</c:v>
                </c:pt>
                <c:pt idx="16">
                  <c:v>37725.68</c:v>
                </c:pt>
                <c:pt idx="17">
                  <c:v>41933.89</c:v>
                </c:pt>
                <c:pt idx="18">
                  <c:v>40791.420000000006</c:v>
                </c:pt>
                <c:pt idx="19">
                  <c:v>39443.149999999994</c:v>
                </c:pt>
                <c:pt idx="20">
                  <c:v>42738.689999999995</c:v>
                </c:pt>
                <c:pt idx="21">
                  <c:v>42065.04</c:v>
                </c:pt>
                <c:pt idx="22">
                  <c:v>38274.79</c:v>
                </c:pt>
                <c:pt idx="23">
                  <c:v>33972.520000000004</c:v>
                </c:pt>
                <c:pt idx="24">
                  <c:v>37939.360000000001</c:v>
                </c:pt>
                <c:pt idx="25">
                  <c:v>40154.03</c:v>
                </c:pt>
                <c:pt idx="26">
                  <c:v>40334.1</c:v>
                </c:pt>
                <c:pt idx="27">
                  <c:v>47457.85</c:v>
                </c:pt>
                <c:pt idx="28">
                  <c:v>49862.209999999992</c:v>
                </c:pt>
                <c:pt idx="29">
                  <c:v>50670.829999999994</c:v>
                </c:pt>
                <c:pt idx="30">
                  <c:v>51293.5</c:v>
                </c:pt>
                <c:pt idx="31">
                  <c:v>56171.179999999993</c:v>
                </c:pt>
                <c:pt idx="32">
                  <c:v>62621.47</c:v>
                </c:pt>
                <c:pt idx="33">
                  <c:v>66747.11</c:v>
                </c:pt>
                <c:pt idx="34">
                  <c:v>69313.279999999999</c:v>
                </c:pt>
                <c:pt idx="35">
                  <c:v>72172.639999999999</c:v>
                </c:pt>
                <c:pt idx="36">
                  <c:v>74745.12000000001</c:v>
                </c:pt>
                <c:pt idx="37">
                  <c:v>75861.86</c:v>
                </c:pt>
                <c:pt idx="38">
                  <c:v>78392.800000000003</c:v>
                </c:pt>
                <c:pt idx="39">
                  <c:v>81566.189999999988</c:v>
                </c:pt>
                <c:pt idx="40">
                  <c:v>82852.42</c:v>
                </c:pt>
                <c:pt idx="41">
                  <c:v>81992.300000000017</c:v>
                </c:pt>
                <c:pt idx="42">
                  <c:v>85875.520000000004</c:v>
                </c:pt>
                <c:pt idx="43">
                  <c:v>84276.24</c:v>
                </c:pt>
                <c:pt idx="44">
                  <c:v>91258.069999999992</c:v>
                </c:pt>
                <c:pt idx="45">
                  <c:v>90189.209999999992</c:v>
                </c:pt>
                <c:pt idx="46">
                  <c:v>89964.09</c:v>
                </c:pt>
                <c:pt idx="47">
                  <c:v>94356.6</c:v>
                </c:pt>
                <c:pt idx="48">
                  <c:v>93123.32</c:v>
                </c:pt>
                <c:pt idx="49">
                  <c:v>92714.540000000008</c:v>
                </c:pt>
                <c:pt idx="50">
                  <c:v>90666.329999999987</c:v>
                </c:pt>
                <c:pt idx="51">
                  <c:v>98575.760000000009</c:v>
                </c:pt>
                <c:pt idx="52">
                  <c:v>97886.89</c:v>
                </c:pt>
                <c:pt idx="53">
                  <c:v>95674.04</c:v>
                </c:pt>
                <c:pt idx="54">
                  <c:v>99898.49</c:v>
                </c:pt>
                <c:pt idx="55">
                  <c:v>99150.900000000009</c:v>
                </c:pt>
                <c:pt idx="56">
                  <c:v>100391.31</c:v>
                </c:pt>
                <c:pt idx="57">
                  <c:v>105520.61</c:v>
                </c:pt>
                <c:pt idx="58">
                  <c:v>107801.34000000001</c:v>
                </c:pt>
                <c:pt idx="59">
                  <c:v>102883.97999999998</c:v>
                </c:pt>
                <c:pt idx="60">
                  <c:v>108305.06</c:v>
                </c:pt>
                <c:pt idx="61">
                  <c:v>110677.45000000001</c:v>
                </c:pt>
                <c:pt idx="62">
                  <c:v>116471.79999999999</c:v>
                </c:pt>
                <c:pt idx="63">
                  <c:v>119197.21000000002</c:v>
                </c:pt>
                <c:pt idx="64">
                  <c:v>119630.38</c:v>
                </c:pt>
                <c:pt idx="65">
                  <c:v>120940.40999999997</c:v>
                </c:pt>
                <c:pt idx="66">
                  <c:v>122630.63</c:v>
                </c:pt>
                <c:pt idx="67">
                  <c:v>128639.59999999998</c:v>
                </c:pt>
                <c:pt idx="68">
                  <c:v>134680.65000000002</c:v>
                </c:pt>
                <c:pt idx="69">
                  <c:v>137628.91999999998</c:v>
                </c:pt>
                <c:pt idx="70">
                  <c:v>147351.66000000003</c:v>
                </c:pt>
                <c:pt idx="71">
                  <c:v>153408.19999999995</c:v>
                </c:pt>
                <c:pt idx="72">
                  <c:v>152227.29999999999</c:v>
                </c:pt>
                <c:pt idx="73">
                  <c:v>157217.90999999997</c:v>
                </c:pt>
                <c:pt idx="74">
                  <c:v>160296.54000000004</c:v>
                </c:pt>
                <c:pt idx="75">
                  <c:v>165670.67000000004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D3-B045-B37D-646AEE085485}"/>
            </c:ext>
          </c:extLst>
        </c:ser>
        <c:ser>
          <c:idx val="1"/>
          <c:order val="1"/>
          <c:tx>
            <c:v>Crypto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'My Money'!$A$2:$A$80</c:f>
              <c:numCache>
                <c:formatCode>[$-C0A]mmmm\-yy;@</c:formatCode>
                <c:ptCount val="76"/>
                <c:pt idx="0">
                  <c:v>43221</c:v>
                </c:pt>
                <c:pt idx="1">
                  <c:v>43252</c:v>
                </c:pt>
                <c:pt idx="2">
                  <c:v>43282</c:v>
                </c:pt>
                <c:pt idx="3">
                  <c:v>43313</c:v>
                </c:pt>
                <c:pt idx="4">
                  <c:v>43344</c:v>
                </c:pt>
                <c:pt idx="5">
                  <c:v>43374</c:v>
                </c:pt>
                <c:pt idx="6">
                  <c:v>43405</c:v>
                </c:pt>
                <c:pt idx="7">
                  <c:v>43435</c:v>
                </c:pt>
                <c:pt idx="8">
                  <c:v>43466</c:v>
                </c:pt>
                <c:pt idx="9">
                  <c:v>43497</c:v>
                </c:pt>
                <c:pt idx="10">
                  <c:v>43525</c:v>
                </c:pt>
                <c:pt idx="11">
                  <c:v>43556</c:v>
                </c:pt>
                <c:pt idx="12">
                  <c:v>43586</c:v>
                </c:pt>
                <c:pt idx="13">
                  <c:v>43617</c:v>
                </c:pt>
                <c:pt idx="14">
                  <c:v>43647</c:v>
                </c:pt>
                <c:pt idx="15">
                  <c:v>43678</c:v>
                </c:pt>
                <c:pt idx="16">
                  <c:v>43709</c:v>
                </c:pt>
                <c:pt idx="17">
                  <c:v>43739</c:v>
                </c:pt>
                <c:pt idx="18">
                  <c:v>43770</c:v>
                </c:pt>
                <c:pt idx="19">
                  <c:v>43800</c:v>
                </c:pt>
                <c:pt idx="20">
                  <c:v>43831</c:v>
                </c:pt>
                <c:pt idx="21">
                  <c:v>43862</c:v>
                </c:pt>
                <c:pt idx="22">
                  <c:v>43891</c:v>
                </c:pt>
                <c:pt idx="23">
                  <c:v>43922</c:v>
                </c:pt>
                <c:pt idx="24">
                  <c:v>43952</c:v>
                </c:pt>
                <c:pt idx="25">
                  <c:v>43983</c:v>
                </c:pt>
                <c:pt idx="26">
                  <c:v>44013</c:v>
                </c:pt>
                <c:pt idx="27">
                  <c:v>44044</c:v>
                </c:pt>
                <c:pt idx="28">
                  <c:v>44075</c:v>
                </c:pt>
                <c:pt idx="29">
                  <c:v>44105</c:v>
                </c:pt>
                <c:pt idx="30">
                  <c:v>44136</c:v>
                </c:pt>
                <c:pt idx="31">
                  <c:v>44166</c:v>
                </c:pt>
                <c:pt idx="32">
                  <c:v>44197</c:v>
                </c:pt>
                <c:pt idx="33">
                  <c:v>44228</c:v>
                </c:pt>
                <c:pt idx="34">
                  <c:v>44256</c:v>
                </c:pt>
                <c:pt idx="35">
                  <c:v>44287</c:v>
                </c:pt>
                <c:pt idx="36">
                  <c:v>44317</c:v>
                </c:pt>
                <c:pt idx="37">
                  <c:v>44348</c:v>
                </c:pt>
                <c:pt idx="38">
                  <c:v>44378</c:v>
                </c:pt>
                <c:pt idx="39">
                  <c:v>44409</c:v>
                </c:pt>
                <c:pt idx="40">
                  <c:v>44440</c:v>
                </c:pt>
                <c:pt idx="41">
                  <c:v>44470</c:v>
                </c:pt>
                <c:pt idx="42">
                  <c:v>44507</c:v>
                </c:pt>
                <c:pt idx="43">
                  <c:v>44532</c:v>
                </c:pt>
                <c:pt idx="44">
                  <c:v>44563</c:v>
                </c:pt>
                <c:pt idx="45">
                  <c:v>44593</c:v>
                </c:pt>
                <c:pt idx="46">
                  <c:v>44621</c:v>
                </c:pt>
                <c:pt idx="47">
                  <c:v>44652</c:v>
                </c:pt>
                <c:pt idx="48">
                  <c:v>44683</c:v>
                </c:pt>
                <c:pt idx="49">
                  <c:v>44713</c:v>
                </c:pt>
                <c:pt idx="50">
                  <c:v>44746</c:v>
                </c:pt>
                <c:pt idx="51">
                  <c:v>44774</c:v>
                </c:pt>
                <c:pt idx="52">
                  <c:v>44805</c:v>
                </c:pt>
                <c:pt idx="53">
                  <c:v>44835</c:v>
                </c:pt>
                <c:pt idx="54">
                  <c:v>44866</c:v>
                </c:pt>
                <c:pt idx="55">
                  <c:v>44896</c:v>
                </c:pt>
                <c:pt idx="56">
                  <c:v>44927</c:v>
                </c:pt>
                <c:pt idx="57">
                  <c:v>44958</c:v>
                </c:pt>
                <c:pt idx="58">
                  <c:v>44986</c:v>
                </c:pt>
                <c:pt idx="59">
                  <c:v>45017</c:v>
                </c:pt>
                <c:pt idx="60">
                  <c:v>45049</c:v>
                </c:pt>
                <c:pt idx="61">
                  <c:v>45079</c:v>
                </c:pt>
                <c:pt idx="62">
                  <c:v>45111</c:v>
                </c:pt>
                <c:pt idx="63">
                  <c:v>45141</c:v>
                </c:pt>
                <c:pt idx="64">
                  <c:v>45171</c:v>
                </c:pt>
                <c:pt idx="65">
                  <c:v>45202</c:v>
                </c:pt>
                <c:pt idx="66">
                  <c:v>45233</c:v>
                </c:pt>
                <c:pt idx="67">
                  <c:v>45269</c:v>
                </c:pt>
                <c:pt idx="68">
                  <c:v>45294</c:v>
                </c:pt>
                <c:pt idx="69">
                  <c:v>45324</c:v>
                </c:pt>
                <c:pt idx="70">
                  <c:v>45353</c:v>
                </c:pt>
                <c:pt idx="71">
                  <c:v>45385</c:v>
                </c:pt>
                <c:pt idx="72">
                  <c:v>45416</c:v>
                </c:pt>
                <c:pt idx="73">
                  <c:v>45444</c:v>
                </c:pt>
                <c:pt idx="74">
                  <c:v>45476</c:v>
                </c:pt>
                <c:pt idx="75">
                  <c:v>45505</c:v>
                </c:pt>
              </c:numCache>
            </c:numRef>
          </c:cat>
          <c:val>
            <c:numRef>
              <c:f>'My Money'!$D$2:$D$80</c:f>
              <c:numCache>
                <c:formatCode>_-* #,##0.00\ [$€-C0A]_-;\-* #,##0.00\ [$€-C0A]_-;_-* "-"??\ [$€-C0A]_-;_-@_-</c:formatCode>
                <c:ptCount val="76"/>
                <c:pt idx="0">
                  <c:v>3124.97</c:v>
                </c:pt>
                <c:pt idx="1">
                  <c:v>2575.81</c:v>
                </c:pt>
                <c:pt idx="2">
                  <c:v>2106.4</c:v>
                </c:pt>
                <c:pt idx="3">
                  <c:v>1907.2</c:v>
                </c:pt>
                <c:pt idx="4">
                  <c:v>1301.68</c:v>
                </c:pt>
                <c:pt idx="5">
                  <c:v>1085.1300000000001</c:v>
                </c:pt>
                <c:pt idx="6">
                  <c:v>925.73</c:v>
                </c:pt>
                <c:pt idx="7">
                  <c:v>561.57000000000005</c:v>
                </c:pt>
                <c:pt idx="8">
                  <c:v>652.77</c:v>
                </c:pt>
                <c:pt idx="9">
                  <c:v>521.11</c:v>
                </c:pt>
                <c:pt idx="10">
                  <c:v>629.97</c:v>
                </c:pt>
                <c:pt idx="11">
                  <c:v>690.62</c:v>
                </c:pt>
                <c:pt idx="12">
                  <c:v>744.52</c:v>
                </c:pt>
                <c:pt idx="13">
                  <c:v>1234.3</c:v>
                </c:pt>
                <c:pt idx="14">
                  <c:v>1351.39</c:v>
                </c:pt>
                <c:pt idx="15">
                  <c:v>1027.5999999999999</c:v>
                </c:pt>
                <c:pt idx="16">
                  <c:v>818.75</c:v>
                </c:pt>
                <c:pt idx="17">
                  <c:v>867.25</c:v>
                </c:pt>
                <c:pt idx="18">
                  <c:v>872.43</c:v>
                </c:pt>
                <c:pt idx="19">
                  <c:v>723.63</c:v>
                </c:pt>
                <c:pt idx="20">
                  <c:v>646.71</c:v>
                </c:pt>
                <c:pt idx="21">
                  <c:v>922.85</c:v>
                </c:pt>
                <c:pt idx="22">
                  <c:v>1091.68</c:v>
                </c:pt>
                <c:pt idx="23">
                  <c:v>652.86</c:v>
                </c:pt>
                <c:pt idx="24">
                  <c:v>1047.29</c:v>
                </c:pt>
                <c:pt idx="25">
                  <c:v>1123.24</c:v>
                </c:pt>
                <c:pt idx="26">
                  <c:v>1049.0899999999999</c:v>
                </c:pt>
                <c:pt idx="27">
                  <c:v>1659.48</c:v>
                </c:pt>
                <c:pt idx="28">
                  <c:v>2022.95</c:v>
                </c:pt>
                <c:pt idx="29">
                  <c:v>1617.18</c:v>
                </c:pt>
                <c:pt idx="30">
                  <c:v>1730.09</c:v>
                </c:pt>
                <c:pt idx="31">
                  <c:v>2662.39</c:v>
                </c:pt>
                <c:pt idx="32">
                  <c:v>4189.79</c:v>
                </c:pt>
                <c:pt idx="33">
                  <c:v>6618.56</c:v>
                </c:pt>
                <c:pt idx="34">
                  <c:v>7768.4</c:v>
                </c:pt>
                <c:pt idx="35">
                  <c:v>7951.38</c:v>
                </c:pt>
                <c:pt idx="36">
                  <c:v>8054.46</c:v>
                </c:pt>
                <c:pt idx="37">
                  <c:v>7828.05</c:v>
                </c:pt>
                <c:pt idx="38">
                  <c:v>7822.14</c:v>
                </c:pt>
                <c:pt idx="39">
                  <c:v>9142.64</c:v>
                </c:pt>
                <c:pt idx="40">
                  <c:v>9802.58</c:v>
                </c:pt>
                <c:pt idx="41">
                  <c:v>9373.07</c:v>
                </c:pt>
                <c:pt idx="42">
                  <c:v>10588.52</c:v>
                </c:pt>
                <c:pt idx="43">
                  <c:v>9751.3799999999992</c:v>
                </c:pt>
                <c:pt idx="44">
                  <c:v>10794.65</c:v>
                </c:pt>
                <c:pt idx="45">
                  <c:v>10008.06</c:v>
                </c:pt>
                <c:pt idx="46">
                  <c:v>9963.23</c:v>
                </c:pt>
                <c:pt idx="47">
                  <c:v>10959.88</c:v>
                </c:pt>
                <c:pt idx="48">
                  <c:v>10685.19</c:v>
                </c:pt>
                <c:pt idx="49">
                  <c:v>9846.25</c:v>
                </c:pt>
                <c:pt idx="50">
                  <c:v>9275.18</c:v>
                </c:pt>
                <c:pt idx="51">
                  <c:v>11530.5</c:v>
                </c:pt>
                <c:pt idx="52">
                  <c:v>11301.64</c:v>
                </c:pt>
                <c:pt idx="53">
                  <c:v>11245.9</c:v>
                </c:pt>
                <c:pt idx="54">
                  <c:v>11759.55</c:v>
                </c:pt>
                <c:pt idx="55">
                  <c:v>11118.58</c:v>
                </c:pt>
                <c:pt idx="56">
                  <c:v>10818.72</c:v>
                </c:pt>
                <c:pt idx="57">
                  <c:v>12205.44</c:v>
                </c:pt>
                <c:pt idx="58">
                  <c:v>12062.52</c:v>
                </c:pt>
                <c:pt idx="59">
                  <c:v>12903.8</c:v>
                </c:pt>
                <c:pt idx="60">
                  <c:v>12836.66</c:v>
                </c:pt>
                <c:pt idx="61">
                  <c:v>12480.7</c:v>
                </c:pt>
                <c:pt idx="62">
                  <c:v>13644.72</c:v>
                </c:pt>
                <c:pt idx="63">
                  <c:v>13307.38</c:v>
                </c:pt>
                <c:pt idx="64">
                  <c:v>12524.72</c:v>
                </c:pt>
                <c:pt idx="65">
                  <c:v>13117.39</c:v>
                </c:pt>
                <c:pt idx="66">
                  <c:v>14925.8</c:v>
                </c:pt>
                <c:pt idx="67">
                  <c:v>17437</c:v>
                </c:pt>
                <c:pt idx="68">
                  <c:v>17727.48</c:v>
                </c:pt>
                <c:pt idx="69">
                  <c:v>17103.310000000001</c:v>
                </c:pt>
                <c:pt idx="70">
                  <c:v>22549.61</c:v>
                </c:pt>
                <c:pt idx="71">
                  <c:v>23486.85</c:v>
                </c:pt>
                <c:pt idx="72">
                  <c:v>22158.26</c:v>
                </c:pt>
                <c:pt idx="73">
                  <c:v>23782.86</c:v>
                </c:pt>
                <c:pt idx="74">
                  <c:v>20918.77</c:v>
                </c:pt>
                <c:pt idx="75">
                  <c:v>22283.79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4D3-B045-B37D-646AEE085485}"/>
            </c:ext>
          </c:extLst>
        </c:ser>
        <c:ser>
          <c:idx val="2"/>
          <c:order val="2"/>
          <c:tx>
            <c:v>Index Funds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'My Money'!$A$2:$A$80</c:f>
              <c:numCache>
                <c:formatCode>[$-C0A]mmmm\-yy;@</c:formatCode>
                <c:ptCount val="76"/>
                <c:pt idx="0">
                  <c:v>43221</c:v>
                </c:pt>
                <c:pt idx="1">
                  <c:v>43252</c:v>
                </c:pt>
                <c:pt idx="2">
                  <c:v>43282</c:v>
                </c:pt>
                <c:pt idx="3">
                  <c:v>43313</c:v>
                </c:pt>
                <c:pt idx="4">
                  <c:v>43344</c:v>
                </c:pt>
                <c:pt idx="5">
                  <c:v>43374</c:v>
                </c:pt>
                <c:pt idx="6">
                  <c:v>43405</c:v>
                </c:pt>
                <c:pt idx="7">
                  <c:v>43435</c:v>
                </c:pt>
                <c:pt idx="8">
                  <c:v>43466</c:v>
                </c:pt>
                <c:pt idx="9">
                  <c:v>43497</c:v>
                </c:pt>
                <c:pt idx="10">
                  <c:v>43525</c:v>
                </c:pt>
                <c:pt idx="11">
                  <c:v>43556</c:v>
                </c:pt>
                <c:pt idx="12">
                  <c:v>43586</c:v>
                </c:pt>
                <c:pt idx="13">
                  <c:v>43617</c:v>
                </c:pt>
                <c:pt idx="14">
                  <c:v>43647</c:v>
                </c:pt>
                <c:pt idx="15">
                  <c:v>43678</c:v>
                </c:pt>
                <c:pt idx="16">
                  <c:v>43709</c:v>
                </c:pt>
                <c:pt idx="17">
                  <c:v>43739</c:v>
                </c:pt>
                <c:pt idx="18">
                  <c:v>43770</c:v>
                </c:pt>
                <c:pt idx="19">
                  <c:v>43800</c:v>
                </c:pt>
                <c:pt idx="20">
                  <c:v>43831</c:v>
                </c:pt>
                <c:pt idx="21">
                  <c:v>43862</c:v>
                </c:pt>
                <c:pt idx="22">
                  <c:v>43891</c:v>
                </c:pt>
                <c:pt idx="23">
                  <c:v>43922</c:v>
                </c:pt>
                <c:pt idx="24">
                  <c:v>43952</c:v>
                </c:pt>
                <c:pt idx="25">
                  <c:v>43983</c:v>
                </c:pt>
                <c:pt idx="26">
                  <c:v>44013</c:v>
                </c:pt>
                <c:pt idx="27">
                  <c:v>44044</c:v>
                </c:pt>
                <c:pt idx="28">
                  <c:v>44075</c:v>
                </c:pt>
                <c:pt idx="29">
                  <c:v>44105</c:v>
                </c:pt>
                <c:pt idx="30">
                  <c:v>44136</c:v>
                </c:pt>
                <c:pt idx="31">
                  <c:v>44166</c:v>
                </c:pt>
                <c:pt idx="32">
                  <c:v>44197</c:v>
                </c:pt>
                <c:pt idx="33">
                  <c:v>44228</c:v>
                </c:pt>
                <c:pt idx="34">
                  <c:v>44256</c:v>
                </c:pt>
                <c:pt idx="35">
                  <c:v>44287</c:v>
                </c:pt>
                <c:pt idx="36">
                  <c:v>44317</c:v>
                </c:pt>
                <c:pt idx="37">
                  <c:v>44348</c:v>
                </c:pt>
                <c:pt idx="38">
                  <c:v>44378</c:v>
                </c:pt>
                <c:pt idx="39">
                  <c:v>44409</c:v>
                </c:pt>
                <c:pt idx="40">
                  <c:v>44440</c:v>
                </c:pt>
                <c:pt idx="41">
                  <c:v>44470</c:v>
                </c:pt>
                <c:pt idx="42">
                  <c:v>44507</c:v>
                </c:pt>
                <c:pt idx="43">
                  <c:v>44532</c:v>
                </c:pt>
                <c:pt idx="44">
                  <c:v>44563</c:v>
                </c:pt>
                <c:pt idx="45">
                  <c:v>44593</c:v>
                </c:pt>
                <c:pt idx="46">
                  <c:v>44621</c:v>
                </c:pt>
                <c:pt idx="47">
                  <c:v>44652</c:v>
                </c:pt>
                <c:pt idx="48">
                  <c:v>44683</c:v>
                </c:pt>
                <c:pt idx="49">
                  <c:v>44713</c:v>
                </c:pt>
                <c:pt idx="50">
                  <c:v>44746</c:v>
                </c:pt>
                <c:pt idx="51">
                  <c:v>44774</c:v>
                </c:pt>
                <c:pt idx="52">
                  <c:v>44805</c:v>
                </c:pt>
                <c:pt idx="53">
                  <c:v>44835</c:v>
                </c:pt>
                <c:pt idx="54">
                  <c:v>44866</c:v>
                </c:pt>
                <c:pt idx="55">
                  <c:v>44896</c:v>
                </c:pt>
                <c:pt idx="56">
                  <c:v>44927</c:v>
                </c:pt>
                <c:pt idx="57">
                  <c:v>44958</c:v>
                </c:pt>
                <c:pt idx="58">
                  <c:v>44986</c:v>
                </c:pt>
                <c:pt idx="59">
                  <c:v>45017</c:v>
                </c:pt>
                <c:pt idx="60">
                  <c:v>45049</c:v>
                </c:pt>
                <c:pt idx="61">
                  <c:v>45079</c:v>
                </c:pt>
                <c:pt idx="62">
                  <c:v>45111</c:v>
                </c:pt>
                <c:pt idx="63">
                  <c:v>45141</c:v>
                </c:pt>
                <c:pt idx="64">
                  <c:v>45171</c:v>
                </c:pt>
                <c:pt idx="65">
                  <c:v>45202</c:v>
                </c:pt>
                <c:pt idx="66">
                  <c:v>45233</c:v>
                </c:pt>
                <c:pt idx="67">
                  <c:v>45269</c:v>
                </c:pt>
                <c:pt idx="68">
                  <c:v>45294</c:v>
                </c:pt>
                <c:pt idx="69">
                  <c:v>45324</c:v>
                </c:pt>
                <c:pt idx="70">
                  <c:v>45353</c:v>
                </c:pt>
                <c:pt idx="71">
                  <c:v>45385</c:v>
                </c:pt>
                <c:pt idx="72">
                  <c:v>45416</c:v>
                </c:pt>
                <c:pt idx="73">
                  <c:v>45444</c:v>
                </c:pt>
                <c:pt idx="74">
                  <c:v>45476</c:v>
                </c:pt>
                <c:pt idx="75">
                  <c:v>45505</c:v>
                </c:pt>
              </c:numCache>
            </c:numRef>
          </c:cat>
          <c:val>
            <c:numRef>
              <c:f>'My Money'!$C$2:$C$80</c:f>
              <c:numCache>
                <c:formatCode>_-* #,##0.00\ [$€-C0A]_-;\-* #,##0.00\ [$€-C0A]_-;_-* "-"??\ [$€-C0A]_-;_-@_-</c:formatCode>
                <c:ptCount val="76"/>
                <c:pt idx="0">
                  <c:v>2077.58</c:v>
                </c:pt>
                <c:pt idx="1">
                  <c:v>3983.65</c:v>
                </c:pt>
                <c:pt idx="2">
                  <c:v>9001.2900000000009</c:v>
                </c:pt>
                <c:pt idx="3">
                  <c:v>10031.31</c:v>
                </c:pt>
                <c:pt idx="4">
                  <c:v>10897.33</c:v>
                </c:pt>
                <c:pt idx="5">
                  <c:v>11666.5</c:v>
                </c:pt>
                <c:pt idx="6">
                  <c:v>10920.72</c:v>
                </c:pt>
                <c:pt idx="7">
                  <c:v>11235.19</c:v>
                </c:pt>
                <c:pt idx="8">
                  <c:v>10174</c:v>
                </c:pt>
                <c:pt idx="9">
                  <c:v>11057.73</c:v>
                </c:pt>
                <c:pt idx="10">
                  <c:v>15439.84</c:v>
                </c:pt>
                <c:pt idx="11">
                  <c:v>16379.9</c:v>
                </c:pt>
                <c:pt idx="12">
                  <c:v>17965.990000000002</c:v>
                </c:pt>
                <c:pt idx="13">
                  <c:v>17930.71</c:v>
                </c:pt>
                <c:pt idx="14">
                  <c:v>18498.34</c:v>
                </c:pt>
                <c:pt idx="15">
                  <c:v>19161.87</c:v>
                </c:pt>
                <c:pt idx="16">
                  <c:v>18629.330000000002</c:v>
                </c:pt>
                <c:pt idx="17">
                  <c:v>19265.21</c:v>
                </c:pt>
                <c:pt idx="18">
                  <c:v>19452.52</c:v>
                </c:pt>
                <c:pt idx="19">
                  <c:v>19827.169999999998</c:v>
                </c:pt>
                <c:pt idx="20">
                  <c:v>20502.91</c:v>
                </c:pt>
                <c:pt idx="21">
                  <c:v>20884.810000000001</c:v>
                </c:pt>
                <c:pt idx="22">
                  <c:v>19034.54</c:v>
                </c:pt>
                <c:pt idx="23">
                  <c:v>16517.47</c:v>
                </c:pt>
                <c:pt idx="24">
                  <c:v>18597.98</c:v>
                </c:pt>
                <c:pt idx="25">
                  <c:v>18928.79</c:v>
                </c:pt>
                <c:pt idx="26">
                  <c:v>19185.43</c:v>
                </c:pt>
                <c:pt idx="27">
                  <c:v>19235.37</c:v>
                </c:pt>
                <c:pt idx="28">
                  <c:v>20030.509999999998</c:v>
                </c:pt>
                <c:pt idx="29">
                  <c:v>19857.55</c:v>
                </c:pt>
                <c:pt idx="30">
                  <c:v>19582.97</c:v>
                </c:pt>
                <c:pt idx="31">
                  <c:v>21986.26</c:v>
                </c:pt>
                <c:pt idx="32">
                  <c:v>24290.68</c:v>
                </c:pt>
                <c:pt idx="33">
                  <c:v>25838.639999999999</c:v>
                </c:pt>
                <c:pt idx="34">
                  <c:v>27125.83</c:v>
                </c:pt>
                <c:pt idx="35">
                  <c:v>28640.63</c:v>
                </c:pt>
                <c:pt idx="36">
                  <c:v>31297.42</c:v>
                </c:pt>
                <c:pt idx="37">
                  <c:v>31333.49</c:v>
                </c:pt>
                <c:pt idx="38">
                  <c:v>33619.72</c:v>
                </c:pt>
                <c:pt idx="39">
                  <c:v>35460.699999999997</c:v>
                </c:pt>
                <c:pt idx="40">
                  <c:v>37363.68</c:v>
                </c:pt>
                <c:pt idx="41">
                  <c:v>38977.43</c:v>
                </c:pt>
                <c:pt idx="42">
                  <c:v>43751.77</c:v>
                </c:pt>
                <c:pt idx="43">
                  <c:v>44193.46</c:v>
                </c:pt>
                <c:pt idx="44">
                  <c:v>45783.89</c:v>
                </c:pt>
                <c:pt idx="45">
                  <c:v>44804.06</c:v>
                </c:pt>
                <c:pt idx="46">
                  <c:v>45747.39</c:v>
                </c:pt>
                <c:pt idx="47">
                  <c:v>49116.72</c:v>
                </c:pt>
                <c:pt idx="48">
                  <c:v>48048.99</c:v>
                </c:pt>
                <c:pt idx="49">
                  <c:v>48445.73</c:v>
                </c:pt>
                <c:pt idx="50">
                  <c:v>48276.54</c:v>
                </c:pt>
                <c:pt idx="51">
                  <c:v>53560.62</c:v>
                </c:pt>
                <c:pt idx="52">
                  <c:v>53599.31</c:v>
                </c:pt>
                <c:pt idx="53">
                  <c:v>51561.84</c:v>
                </c:pt>
                <c:pt idx="54">
                  <c:v>55236.91</c:v>
                </c:pt>
                <c:pt idx="55">
                  <c:v>55171.62</c:v>
                </c:pt>
                <c:pt idx="56">
                  <c:v>53639.77</c:v>
                </c:pt>
                <c:pt idx="57">
                  <c:v>57352.88</c:v>
                </c:pt>
                <c:pt idx="58">
                  <c:v>58416.19</c:v>
                </c:pt>
                <c:pt idx="59">
                  <c:v>58939.75</c:v>
                </c:pt>
                <c:pt idx="60">
                  <c:v>59613.96</c:v>
                </c:pt>
                <c:pt idx="61">
                  <c:v>61782.62</c:v>
                </c:pt>
                <c:pt idx="62">
                  <c:v>65401.279999999999</c:v>
                </c:pt>
                <c:pt idx="63">
                  <c:v>67098.100000000006</c:v>
                </c:pt>
                <c:pt idx="64">
                  <c:v>68443.44</c:v>
                </c:pt>
                <c:pt idx="65">
                  <c:v>68483.179999999993</c:v>
                </c:pt>
                <c:pt idx="66">
                  <c:v>69131.03</c:v>
                </c:pt>
                <c:pt idx="67">
                  <c:v>72604.42</c:v>
                </c:pt>
                <c:pt idx="68">
                  <c:v>74137.070000000007</c:v>
                </c:pt>
                <c:pt idx="69">
                  <c:v>78800.98</c:v>
                </c:pt>
                <c:pt idx="70">
                  <c:v>83711.03</c:v>
                </c:pt>
                <c:pt idx="71">
                  <c:v>87179.59</c:v>
                </c:pt>
                <c:pt idx="72">
                  <c:v>87323.9</c:v>
                </c:pt>
                <c:pt idx="73">
                  <c:v>89151.48</c:v>
                </c:pt>
                <c:pt idx="74">
                  <c:v>95159.42</c:v>
                </c:pt>
                <c:pt idx="75">
                  <c:v>98330.91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D3-B045-B37D-646AEE085485}"/>
            </c:ext>
          </c:extLst>
        </c:ser>
        <c:ser>
          <c:idx val="3"/>
          <c:order val="3"/>
          <c:tx>
            <c:v>Cash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'My Money'!$B$2:$B$80</c:f>
              <c:numCache>
                <c:formatCode>_-* #,##0.00\ [$€-C0A]_-;\-* #,##0.00\ [$€-C0A]_-;_-* "-"??\ [$€-C0A]_-;_-@_-</c:formatCode>
                <c:ptCount val="76"/>
                <c:pt idx="0">
                  <c:v>15131.32</c:v>
                </c:pt>
                <c:pt idx="1">
                  <c:v>13377.56</c:v>
                </c:pt>
                <c:pt idx="2">
                  <c:v>9933.93</c:v>
                </c:pt>
                <c:pt idx="3">
                  <c:v>9840.35</c:v>
                </c:pt>
                <c:pt idx="4">
                  <c:v>11333.93</c:v>
                </c:pt>
                <c:pt idx="5">
                  <c:v>12109.3</c:v>
                </c:pt>
                <c:pt idx="6">
                  <c:v>12519.97</c:v>
                </c:pt>
                <c:pt idx="7">
                  <c:v>13422.25</c:v>
                </c:pt>
                <c:pt idx="8">
                  <c:v>14488.03</c:v>
                </c:pt>
                <c:pt idx="9">
                  <c:v>16991.37</c:v>
                </c:pt>
                <c:pt idx="10">
                  <c:v>14083.27</c:v>
                </c:pt>
                <c:pt idx="11">
                  <c:v>10523.69</c:v>
                </c:pt>
                <c:pt idx="12">
                  <c:v>10210.41</c:v>
                </c:pt>
                <c:pt idx="13">
                  <c:v>10177.23</c:v>
                </c:pt>
                <c:pt idx="14">
                  <c:v>12986.78</c:v>
                </c:pt>
                <c:pt idx="15">
                  <c:v>13029.61</c:v>
                </c:pt>
                <c:pt idx="16">
                  <c:v>16327.6</c:v>
                </c:pt>
                <c:pt idx="17">
                  <c:v>19851.43</c:v>
                </c:pt>
                <c:pt idx="18">
                  <c:v>18516.47</c:v>
                </c:pt>
                <c:pt idx="19">
                  <c:v>16942.349999999999</c:v>
                </c:pt>
                <c:pt idx="20">
                  <c:v>19639.07</c:v>
                </c:pt>
                <c:pt idx="21">
                  <c:v>18307.38</c:v>
                </c:pt>
                <c:pt idx="22">
                  <c:v>16198.57</c:v>
                </c:pt>
                <c:pt idx="23">
                  <c:v>14852.19</c:v>
                </c:pt>
                <c:pt idx="24">
                  <c:v>16344.09</c:v>
                </c:pt>
                <c:pt idx="25">
                  <c:v>18152</c:v>
                </c:pt>
                <c:pt idx="26">
                  <c:v>19299.580000000002</c:v>
                </c:pt>
                <c:pt idx="27">
                  <c:v>25763</c:v>
                </c:pt>
                <c:pt idx="28">
                  <c:v>27008.75</c:v>
                </c:pt>
                <c:pt idx="29">
                  <c:v>28396.1</c:v>
                </c:pt>
                <c:pt idx="30">
                  <c:v>29180.44</c:v>
                </c:pt>
                <c:pt idx="31">
                  <c:v>30722.53</c:v>
                </c:pt>
                <c:pt idx="32">
                  <c:v>33341</c:v>
                </c:pt>
                <c:pt idx="33">
                  <c:v>33489.910000000003</c:v>
                </c:pt>
                <c:pt idx="34">
                  <c:v>33619.050000000003</c:v>
                </c:pt>
                <c:pt idx="35">
                  <c:v>35580.629999999997</c:v>
                </c:pt>
                <c:pt idx="36">
                  <c:v>35393.24</c:v>
                </c:pt>
                <c:pt idx="37">
                  <c:v>36400.32</c:v>
                </c:pt>
                <c:pt idx="38">
                  <c:v>36650.94</c:v>
                </c:pt>
                <c:pt idx="39">
                  <c:v>36662.85</c:v>
                </c:pt>
                <c:pt idx="40">
                  <c:v>35386.160000000003</c:v>
                </c:pt>
                <c:pt idx="41">
                  <c:v>33341.800000000003</c:v>
                </c:pt>
                <c:pt idx="42">
                  <c:v>31235.23</c:v>
                </c:pt>
                <c:pt idx="43">
                  <c:v>30031.4</c:v>
                </c:pt>
                <c:pt idx="44">
                  <c:v>34379.53</c:v>
                </c:pt>
                <c:pt idx="45">
                  <c:v>35077.089999999997</c:v>
                </c:pt>
                <c:pt idx="46">
                  <c:v>33953.47</c:v>
                </c:pt>
                <c:pt idx="47">
                  <c:v>33980</c:v>
                </c:pt>
                <c:pt idx="48">
                  <c:v>34089.14</c:v>
                </c:pt>
                <c:pt idx="49">
                  <c:v>34122.559999999998</c:v>
                </c:pt>
                <c:pt idx="50">
                  <c:v>32814.61</c:v>
                </c:pt>
                <c:pt idx="51">
                  <c:v>33184.639999999999</c:v>
                </c:pt>
                <c:pt idx="52">
                  <c:v>32685.94</c:v>
                </c:pt>
                <c:pt idx="53">
                  <c:v>32566.3</c:v>
                </c:pt>
                <c:pt idx="54">
                  <c:v>32602.03</c:v>
                </c:pt>
                <c:pt idx="55">
                  <c:v>32560.7</c:v>
                </c:pt>
                <c:pt idx="56">
                  <c:v>35632.82</c:v>
                </c:pt>
                <c:pt idx="57">
                  <c:v>35662.29</c:v>
                </c:pt>
                <c:pt idx="58">
                  <c:v>37022.629999999997</c:v>
                </c:pt>
                <c:pt idx="59">
                  <c:v>10740.43</c:v>
                </c:pt>
                <c:pt idx="60">
                  <c:v>15554.44</c:v>
                </c:pt>
                <c:pt idx="61">
                  <c:v>16414.13</c:v>
                </c:pt>
                <c:pt idx="62">
                  <c:v>17425.8</c:v>
                </c:pt>
                <c:pt idx="63">
                  <c:v>18791.73</c:v>
                </c:pt>
                <c:pt idx="64">
                  <c:v>18662.22</c:v>
                </c:pt>
                <c:pt idx="65">
                  <c:v>19339.84</c:v>
                </c:pt>
                <c:pt idx="66">
                  <c:v>18573.8</c:v>
                </c:pt>
                <c:pt idx="67">
                  <c:v>18598.18</c:v>
                </c:pt>
                <c:pt idx="68">
                  <c:v>14316.1</c:v>
                </c:pt>
                <c:pt idx="69">
                  <c:v>13224.63</c:v>
                </c:pt>
                <c:pt idx="70">
                  <c:v>12591.02</c:v>
                </c:pt>
                <c:pt idx="71">
                  <c:v>14241.76</c:v>
                </c:pt>
                <c:pt idx="72">
                  <c:v>14245.14</c:v>
                </c:pt>
                <c:pt idx="73">
                  <c:v>15783.57</c:v>
                </c:pt>
                <c:pt idx="74">
                  <c:v>15718.35</c:v>
                </c:pt>
                <c:pt idx="75">
                  <c:v>16555.97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ED-904F-B2FD-BE3E20EE5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574896"/>
        <c:axId val="1360825456"/>
      </c:lineChart>
      <c:catAx>
        <c:axId val="1329574896"/>
        <c:scaling>
          <c:orientation val="minMax"/>
        </c:scaling>
        <c:delete val="0"/>
        <c:axPos val="b"/>
        <c:numFmt formatCode="m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60825456"/>
        <c:crosses val="autoZero"/>
        <c:auto val="0"/>
        <c:lblAlgn val="ctr"/>
        <c:lblOffset val="100"/>
        <c:noMultiLvlLbl val="0"/>
      </c:catAx>
      <c:valAx>
        <c:axId val="136082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C0A]_-;\-* #,##0.00\ [$€-C0A]_-;_-* &quot;-&quot;??\ [$€-C0A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957489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Cheesecake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62-E147-8E33-6C3268BF54D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62-E147-8E33-6C3268BF54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862-E147-8E33-6C3268BF54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862-E147-8E33-6C3268BF54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862-E147-8E33-6C3268BF54D7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62-E147-8E33-6C3268BF54D7}"/>
                </c:ext>
              </c:extLst>
            </c:dLbl>
            <c:numFmt formatCode="0%" sourceLinked="0"/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Metadata!$B$1:$B$5</c:f>
              <c:strCache>
                <c:ptCount val="4"/>
                <c:pt idx="0">
                  <c:v>Cash</c:v>
                </c:pt>
                <c:pt idx="1">
                  <c:v>Stocks</c:v>
                </c:pt>
                <c:pt idx="2">
                  <c:v>Crypto</c:v>
                </c:pt>
                <c:pt idx="3">
                  <c:v>Blocked</c:v>
                </c:pt>
              </c:strCache>
            </c:strRef>
          </c:cat>
          <c:val>
            <c:numRef>
              <c:f>Metadata!$C$1:$C$5</c:f>
              <c:numCache>
                <c:formatCode>General</c:formatCode>
                <c:ptCount val="5"/>
                <c:pt idx="0">
                  <c:v>16555.97</c:v>
                </c:pt>
                <c:pt idx="1">
                  <c:v>98330.91</c:v>
                </c:pt>
                <c:pt idx="2">
                  <c:v>22283.79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862-E147-8E33-6C3268BF54D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1.2504988174376844E-2"/>
          <c:y val="0.69336635441578209"/>
          <c:w val="0.1716730093534353"/>
          <c:h val="0.2926789613483188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'My Money'!$I$1</c:f>
              <c:strCache>
                <c:ptCount val="1"/>
                <c:pt idx="0">
                  <c:v> Balance of the month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dPt>
            <c:idx val="43"/>
            <c:invertIfNegative val="1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07B-464B-B73F-3B8E47C6CB63}"/>
              </c:ext>
            </c:extLst>
          </c:dPt>
          <c:cat>
            <c:numRef>
              <c:f>'My Money'!$A$3:$A$80</c:f>
              <c:numCache>
                <c:formatCode>[$-C0A]mmmm\-yy;@</c:formatCode>
                <c:ptCount val="75"/>
                <c:pt idx="0">
                  <c:v>43252</c:v>
                </c:pt>
                <c:pt idx="1">
                  <c:v>43282</c:v>
                </c:pt>
                <c:pt idx="2">
                  <c:v>43313</c:v>
                </c:pt>
                <c:pt idx="3">
                  <c:v>43344</c:v>
                </c:pt>
                <c:pt idx="4">
                  <c:v>43374</c:v>
                </c:pt>
                <c:pt idx="5">
                  <c:v>43405</c:v>
                </c:pt>
                <c:pt idx="6">
                  <c:v>43435</c:v>
                </c:pt>
                <c:pt idx="7">
                  <c:v>43466</c:v>
                </c:pt>
                <c:pt idx="8">
                  <c:v>43497</c:v>
                </c:pt>
                <c:pt idx="9">
                  <c:v>43525</c:v>
                </c:pt>
                <c:pt idx="10">
                  <c:v>43556</c:v>
                </c:pt>
                <c:pt idx="11">
                  <c:v>43586</c:v>
                </c:pt>
                <c:pt idx="12">
                  <c:v>43617</c:v>
                </c:pt>
                <c:pt idx="13">
                  <c:v>43647</c:v>
                </c:pt>
                <c:pt idx="14">
                  <c:v>43678</c:v>
                </c:pt>
                <c:pt idx="15">
                  <c:v>43709</c:v>
                </c:pt>
                <c:pt idx="16">
                  <c:v>43739</c:v>
                </c:pt>
                <c:pt idx="17">
                  <c:v>43770</c:v>
                </c:pt>
                <c:pt idx="18">
                  <c:v>43800</c:v>
                </c:pt>
                <c:pt idx="19">
                  <c:v>43831</c:v>
                </c:pt>
                <c:pt idx="20">
                  <c:v>43862</c:v>
                </c:pt>
                <c:pt idx="21">
                  <c:v>43891</c:v>
                </c:pt>
                <c:pt idx="22">
                  <c:v>43922</c:v>
                </c:pt>
                <c:pt idx="23">
                  <c:v>43952</c:v>
                </c:pt>
                <c:pt idx="24">
                  <c:v>43983</c:v>
                </c:pt>
                <c:pt idx="25">
                  <c:v>44013</c:v>
                </c:pt>
                <c:pt idx="26">
                  <c:v>44044</c:v>
                </c:pt>
                <c:pt idx="27">
                  <c:v>44075</c:v>
                </c:pt>
                <c:pt idx="28">
                  <c:v>44105</c:v>
                </c:pt>
                <c:pt idx="29">
                  <c:v>44136</c:v>
                </c:pt>
                <c:pt idx="30">
                  <c:v>44166</c:v>
                </c:pt>
                <c:pt idx="31">
                  <c:v>44197</c:v>
                </c:pt>
                <c:pt idx="32">
                  <c:v>44228</c:v>
                </c:pt>
                <c:pt idx="33">
                  <c:v>44256</c:v>
                </c:pt>
                <c:pt idx="34">
                  <c:v>44287</c:v>
                </c:pt>
                <c:pt idx="35">
                  <c:v>44317</c:v>
                </c:pt>
                <c:pt idx="36">
                  <c:v>44348</c:v>
                </c:pt>
                <c:pt idx="37">
                  <c:v>44378</c:v>
                </c:pt>
                <c:pt idx="38">
                  <c:v>44409</c:v>
                </c:pt>
                <c:pt idx="39">
                  <c:v>44440</c:v>
                </c:pt>
                <c:pt idx="40">
                  <c:v>44470</c:v>
                </c:pt>
                <c:pt idx="41">
                  <c:v>44507</c:v>
                </c:pt>
                <c:pt idx="42">
                  <c:v>44532</c:v>
                </c:pt>
                <c:pt idx="43">
                  <c:v>44563</c:v>
                </c:pt>
                <c:pt idx="44">
                  <c:v>44593</c:v>
                </c:pt>
                <c:pt idx="45">
                  <c:v>44621</c:v>
                </c:pt>
                <c:pt idx="46">
                  <c:v>44652</c:v>
                </c:pt>
                <c:pt idx="47">
                  <c:v>44683</c:v>
                </c:pt>
                <c:pt idx="48">
                  <c:v>44713</c:v>
                </c:pt>
                <c:pt idx="49">
                  <c:v>44746</c:v>
                </c:pt>
                <c:pt idx="50">
                  <c:v>44774</c:v>
                </c:pt>
                <c:pt idx="51">
                  <c:v>44805</c:v>
                </c:pt>
                <c:pt idx="52">
                  <c:v>44835</c:v>
                </c:pt>
                <c:pt idx="53">
                  <c:v>44866</c:v>
                </c:pt>
                <c:pt idx="54">
                  <c:v>44896</c:v>
                </c:pt>
                <c:pt idx="55">
                  <c:v>44927</c:v>
                </c:pt>
                <c:pt idx="56">
                  <c:v>44958</c:v>
                </c:pt>
                <c:pt idx="57">
                  <c:v>44986</c:v>
                </c:pt>
                <c:pt idx="58">
                  <c:v>45017</c:v>
                </c:pt>
                <c:pt idx="59">
                  <c:v>45049</c:v>
                </c:pt>
                <c:pt idx="60">
                  <c:v>45079</c:v>
                </c:pt>
                <c:pt idx="61">
                  <c:v>45111</c:v>
                </c:pt>
                <c:pt idx="62">
                  <c:v>45141</c:v>
                </c:pt>
                <c:pt idx="63">
                  <c:v>45171</c:v>
                </c:pt>
                <c:pt idx="64">
                  <c:v>45202</c:v>
                </c:pt>
                <c:pt idx="65">
                  <c:v>45233</c:v>
                </c:pt>
                <c:pt idx="66">
                  <c:v>45269</c:v>
                </c:pt>
                <c:pt idx="67">
                  <c:v>45294</c:v>
                </c:pt>
                <c:pt idx="68">
                  <c:v>45324</c:v>
                </c:pt>
                <c:pt idx="69">
                  <c:v>45353</c:v>
                </c:pt>
                <c:pt idx="70">
                  <c:v>45385</c:v>
                </c:pt>
                <c:pt idx="71">
                  <c:v>45416</c:v>
                </c:pt>
                <c:pt idx="72">
                  <c:v>45444</c:v>
                </c:pt>
                <c:pt idx="73">
                  <c:v>45476</c:v>
                </c:pt>
                <c:pt idx="74">
                  <c:v>45505</c:v>
                </c:pt>
              </c:numCache>
            </c:numRef>
          </c:cat>
          <c:val>
            <c:numRef>
              <c:f>'My Money'!$I$3:$I$80</c:f>
              <c:numCache>
                <c:formatCode>_-* #,##0.00\ [$€-C0A]_-;\-* #,##0.00\ [$€-C0A]_-;_-* "-"??\ [$€-C0A]_-;_-@_-</c:formatCode>
                <c:ptCount val="75"/>
                <c:pt idx="0">
                  <c:v>-396.85000000000218</c:v>
                </c:pt>
                <c:pt idx="1">
                  <c:v>1104.6000000000022</c:v>
                </c:pt>
                <c:pt idx="2">
                  <c:v>737.23999999999796</c:v>
                </c:pt>
                <c:pt idx="3">
                  <c:v>1754.0800000000017</c:v>
                </c:pt>
                <c:pt idx="4">
                  <c:v>1327.989999999998</c:v>
                </c:pt>
                <c:pt idx="5">
                  <c:v>-494.51000000000204</c:v>
                </c:pt>
                <c:pt idx="6">
                  <c:v>852.59000000000378</c:v>
                </c:pt>
                <c:pt idx="7">
                  <c:v>95.789999999997235</c:v>
                </c:pt>
                <c:pt idx="8">
                  <c:v>3255.41</c:v>
                </c:pt>
                <c:pt idx="9">
                  <c:v>1582.8700000000026</c:v>
                </c:pt>
                <c:pt idx="10">
                  <c:v>-608.87000000000262</c:v>
                </c:pt>
                <c:pt idx="11">
                  <c:v>326.71000000000276</c:v>
                </c:pt>
                <c:pt idx="12">
                  <c:v>421.31999999999607</c:v>
                </c:pt>
                <c:pt idx="13">
                  <c:v>3494.2700000000041</c:v>
                </c:pt>
                <c:pt idx="14">
                  <c:v>382.56999999999971</c:v>
                </c:pt>
                <c:pt idx="15">
                  <c:v>2556.5999999999985</c:v>
                </c:pt>
                <c:pt idx="16">
                  <c:v>4208.2099999999991</c:v>
                </c:pt>
                <c:pt idx="17">
                  <c:v>-1142.4699999999939</c:v>
                </c:pt>
                <c:pt idx="18">
                  <c:v>-1348.2700000000114</c:v>
                </c:pt>
                <c:pt idx="19">
                  <c:v>3295.5400000000009</c:v>
                </c:pt>
                <c:pt idx="20">
                  <c:v>-673.64999999999418</c:v>
                </c:pt>
                <c:pt idx="21">
                  <c:v>-3790.25</c:v>
                </c:pt>
                <c:pt idx="22">
                  <c:v>-4302.2699999999968</c:v>
                </c:pt>
                <c:pt idx="23">
                  <c:v>3966.8399999999965</c:v>
                </c:pt>
                <c:pt idx="24">
                  <c:v>2214.6699999999983</c:v>
                </c:pt>
                <c:pt idx="25">
                  <c:v>180.06999999999971</c:v>
                </c:pt>
                <c:pt idx="26">
                  <c:v>7123.75</c:v>
                </c:pt>
                <c:pt idx="27">
                  <c:v>2404.3599999999933</c:v>
                </c:pt>
                <c:pt idx="28">
                  <c:v>808.62000000000262</c:v>
                </c:pt>
                <c:pt idx="29">
                  <c:v>622.67000000000553</c:v>
                </c:pt>
                <c:pt idx="30">
                  <c:v>4877.679999999993</c:v>
                </c:pt>
                <c:pt idx="31">
                  <c:v>6450.2900000000081</c:v>
                </c:pt>
                <c:pt idx="32">
                  <c:v>4125.6399999999994</c:v>
                </c:pt>
                <c:pt idx="33">
                  <c:v>2566.1699999999983</c:v>
                </c:pt>
                <c:pt idx="34">
                  <c:v>2859.3600000000006</c:v>
                </c:pt>
                <c:pt idx="35">
                  <c:v>2572.4800000000105</c:v>
                </c:pt>
                <c:pt idx="36">
                  <c:v>1116.7399999999907</c:v>
                </c:pt>
                <c:pt idx="37">
                  <c:v>2530.9400000000023</c:v>
                </c:pt>
                <c:pt idx="38">
                  <c:v>3173.3899999999849</c:v>
                </c:pt>
                <c:pt idx="39">
                  <c:v>1286.2300000000105</c:v>
                </c:pt>
                <c:pt idx="40">
                  <c:v>-860.11999999998079</c:v>
                </c:pt>
                <c:pt idx="41">
                  <c:v>3883.2199999999866</c:v>
                </c:pt>
                <c:pt idx="42">
                  <c:v>-1599.2799999999988</c:v>
                </c:pt>
                <c:pt idx="43">
                  <c:v>6981.8299999999872</c:v>
                </c:pt>
                <c:pt idx="44">
                  <c:v>-1068.8600000000006</c:v>
                </c:pt>
                <c:pt idx="45">
                  <c:v>-225.11999999999534</c:v>
                </c:pt>
                <c:pt idx="46">
                  <c:v>4392.5100000000093</c:v>
                </c:pt>
                <c:pt idx="47">
                  <c:v>-1233.2799999999988</c:v>
                </c:pt>
                <c:pt idx="48">
                  <c:v>-408.77999999999884</c:v>
                </c:pt>
                <c:pt idx="49">
                  <c:v>-2048.210000000021</c:v>
                </c:pt>
                <c:pt idx="50">
                  <c:v>7909.4300000000221</c:v>
                </c:pt>
                <c:pt idx="51">
                  <c:v>-688.8700000000099</c:v>
                </c:pt>
                <c:pt idx="52">
                  <c:v>-2212.8500000000058</c:v>
                </c:pt>
                <c:pt idx="53">
                  <c:v>4224.4500000000116</c:v>
                </c:pt>
                <c:pt idx="54">
                  <c:v>-747.58999999999651</c:v>
                </c:pt>
                <c:pt idx="55">
                  <c:v>1240.4099999999889</c:v>
                </c:pt>
                <c:pt idx="56">
                  <c:v>5129.3000000000029</c:v>
                </c:pt>
                <c:pt idx="57">
                  <c:v>2280.7300000000105</c:v>
                </c:pt>
                <c:pt idx="58">
                  <c:v>-4917.3600000000297</c:v>
                </c:pt>
                <c:pt idx="59">
                  <c:v>5421.0800000000163</c:v>
                </c:pt>
                <c:pt idx="60">
                  <c:v>2372.390000000014</c:v>
                </c:pt>
                <c:pt idx="61">
                  <c:v>5794.3499999999767</c:v>
                </c:pt>
                <c:pt idx="62">
                  <c:v>2725.4100000000326</c:v>
                </c:pt>
                <c:pt idx="63">
                  <c:v>433.1699999999837</c:v>
                </c:pt>
                <c:pt idx="64">
                  <c:v>1310.0299999999697</c:v>
                </c:pt>
                <c:pt idx="65">
                  <c:v>1690.2200000000303</c:v>
                </c:pt>
                <c:pt idx="66">
                  <c:v>6008.9699999999721</c:v>
                </c:pt>
                <c:pt idx="67">
                  <c:v>6041.0500000000466</c:v>
                </c:pt>
                <c:pt idx="68">
                  <c:v>2948.2699999999604</c:v>
                </c:pt>
                <c:pt idx="69">
                  <c:v>9722.7400000000489</c:v>
                </c:pt>
                <c:pt idx="70">
                  <c:v>6056.5399999999208</c:v>
                </c:pt>
                <c:pt idx="71">
                  <c:v>-1180.8999999999651</c:v>
                </c:pt>
                <c:pt idx="72">
                  <c:v>4990.609999999986</c:v>
                </c:pt>
                <c:pt idx="73">
                  <c:v>3078.6300000000629</c:v>
                </c:pt>
                <c:pt idx="74">
                  <c:v>5374.1300000000047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007B-464B-B73F-3B8E47C6C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-9"/>
        <c:axId val="1760132176"/>
        <c:axId val="1760284208"/>
      </c:barChart>
      <c:catAx>
        <c:axId val="1760132176"/>
        <c:scaling>
          <c:orientation val="minMax"/>
        </c:scaling>
        <c:delete val="0"/>
        <c:axPos val="b"/>
        <c:numFmt formatCode="mmmm\ 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0284208"/>
        <c:crosses val="autoZero"/>
        <c:auto val="0"/>
        <c:lblAlgn val="ctr"/>
        <c:lblOffset val="100"/>
        <c:noMultiLvlLbl val="0"/>
      </c:catAx>
      <c:valAx>
        <c:axId val="176028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C0A]_-;\-* #,##0.00\ [$€-C0A]_-;_-* &quot;-&quot;??\ [$€-C0A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0132176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'My Money'!$J$1</c:f>
              <c:strCache>
                <c:ptCount val="1"/>
                <c:pt idx="0">
                  <c:v> MA 12m 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'My Money'!$A$3:$A$80</c:f>
              <c:numCache>
                <c:formatCode>[$-C0A]mmmm\-yy;@</c:formatCode>
                <c:ptCount val="75"/>
                <c:pt idx="0">
                  <c:v>43252</c:v>
                </c:pt>
                <c:pt idx="1">
                  <c:v>43282</c:v>
                </c:pt>
                <c:pt idx="2">
                  <c:v>43313</c:v>
                </c:pt>
                <c:pt idx="3">
                  <c:v>43344</c:v>
                </c:pt>
                <c:pt idx="4">
                  <c:v>43374</c:v>
                </c:pt>
                <c:pt idx="5">
                  <c:v>43405</c:v>
                </c:pt>
                <c:pt idx="6">
                  <c:v>43435</c:v>
                </c:pt>
                <c:pt idx="7">
                  <c:v>43466</c:v>
                </c:pt>
                <c:pt idx="8">
                  <c:v>43497</c:v>
                </c:pt>
                <c:pt idx="9">
                  <c:v>43525</c:v>
                </c:pt>
                <c:pt idx="10">
                  <c:v>43556</c:v>
                </c:pt>
                <c:pt idx="11">
                  <c:v>43586</c:v>
                </c:pt>
                <c:pt idx="12">
                  <c:v>43617</c:v>
                </c:pt>
                <c:pt idx="13">
                  <c:v>43647</c:v>
                </c:pt>
                <c:pt idx="14">
                  <c:v>43678</c:v>
                </c:pt>
                <c:pt idx="15">
                  <c:v>43709</c:v>
                </c:pt>
                <c:pt idx="16">
                  <c:v>43739</c:v>
                </c:pt>
                <c:pt idx="17">
                  <c:v>43770</c:v>
                </c:pt>
                <c:pt idx="18">
                  <c:v>43800</c:v>
                </c:pt>
                <c:pt idx="19">
                  <c:v>43831</c:v>
                </c:pt>
                <c:pt idx="20">
                  <c:v>43862</c:v>
                </c:pt>
                <c:pt idx="21">
                  <c:v>43891</c:v>
                </c:pt>
                <c:pt idx="22">
                  <c:v>43922</c:v>
                </c:pt>
                <c:pt idx="23">
                  <c:v>43952</c:v>
                </c:pt>
                <c:pt idx="24">
                  <c:v>43983</c:v>
                </c:pt>
                <c:pt idx="25">
                  <c:v>44013</c:v>
                </c:pt>
                <c:pt idx="26">
                  <c:v>44044</c:v>
                </c:pt>
                <c:pt idx="27">
                  <c:v>44075</c:v>
                </c:pt>
                <c:pt idx="28">
                  <c:v>44105</c:v>
                </c:pt>
                <c:pt idx="29">
                  <c:v>44136</c:v>
                </c:pt>
                <c:pt idx="30">
                  <c:v>44166</c:v>
                </c:pt>
                <c:pt idx="31">
                  <c:v>44197</c:v>
                </c:pt>
                <c:pt idx="32">
                  <c:v>44228</c:v>
                </c:pt>
                <c:pt idx="33">
                  <c:v>44256</c:v>
                </c:pt>
                <c:pt idx="34">
                  <c:v>44287</c:v>
                </c:pt>
                <c:pt idx="35">
                  <c:v>44317</c:v>
                </c:pt>
                <c:pt idx="36">
                  <c:v>44348</c:v>
                </c:pt>
                <c:pt idx="37">
                  <c:v>44378</c:v>
                </c:pt>
                <c:pt idx="38">
                  <c:v>44409</c:v>
                </c:pt>
                <c:pt idx="39">
                  <c:v>44440</c:v>
                </c:pt>
                <c:pt idx="40">
                  <c:v>44470</c:v>
                </c:pt>
                <c:pt idx="41">
                  <c:v>44507</c:v>
                </c:pt>
                <c:pt idx="42">
                  <c:v>44532</c:v>
                </c:pt>
                <c:pt idx="43">
                  <c:v>44563</c:v>
                </c:pt>
                <c:pt idx="44">
                  <c:v>44593</c:v>
                </c:pt>
                <c:pt idx="45">
                  <c:v>44621</c:v>
                </c:pt>
                <c:pt idx="46">
                  <c:v>44652</c:v>
                </c:pt>
                <c:pt idx="47">
                  <c:v>44683</c:v>
                </c:pt>
                <c:pt idx="48">
                  <c:v>44713</c:v>
                </c:pt>
                <c:pt idx="49">
                  <c:v>44746</c:v>
                </c:pt>
                <c:pt idx="50">
                  <c:v>44774</c:v>
                </c:pt>
                <c:pt idx="51">
                  <c:v>44805</c:v>
                </c:pt>
                <c:pt idx="52">
                  <c:v>44835</c:v>
                </c:pt>
                <c:pt idx="53">
                  <c:v>44866</c:v>
                </c:pt>
                <c:pt idx="54">
                  <c:v>44896</c:v>
                </c:pt>
                <c:pt idx="55">
                  <c:v>44927</c:v>
                </c:pt>
                <c:pt idx="56">
                  <c:v>44958</c:v>
                </c:pt>
                <c:pt idx="57">
                  <c:v>44986</c:v>
                </c:pt>
                <c:pt idx="58">
                  <c:v>45017</c:v>
                </c:pt>
                <c:pt idx="59">
                  <c:v>45049</c:v>
                </c:pt>
                <c:pt idx="60">
                  <c:v>45079</c:v>
                </c:pt>
                <c:pt idx="61">
                  <c:v>45111</c:v>
                </c:pt>
                <c:pt idx="62">
                  <c:v>45141</c:v>
                </c:pt>
                <c:pt idx="63">
                  <c:v>45171</c:v>
                </c:pt>
                <c:pt idx="64">
                  <c:v>45202</c:v>
                </c:pt>
                <c:pt idx="65">
                  <c:v>45233</c:v>
                </c:pt>
                <c:pt idx="66">
                  <c:v>45269</c:v>
                </c:pt>
                <c:pt idx="67">
                  <c:v>45294</c:v>
                </c:pt>
                <c:pt idx="68">
                  <c:v>45324</c:v>
                </c:pt>
                <c:pt idx="69">
                  <c:v>45353</c:v>
                </c:pt>
                <c:pt idx="70">
                  <c:v>45385</c:v>
                </c:pt>
                <c:pt idx="71">
                  <c:v>45416</c:v>
                </c:pt>
                <c:pt idx="72">
                  <c:v>45444</c:v>
                </c:pt>
                <c:pt idx="73">
                  <c:v>45476</c:v>
                </c:pt>
                <c:pt idx="74">
                  <c:v>45505</c:v>
                </c:pt>
              </c:numCache>
            </c:numRef>
          </c:cat>
          <c:val>
            <c:numRef>
              <c:f>'My Money'!$J$3:$J$80</c:f>
              <c:numCache>
                <c:formatCode>_-* #,##0.00\ [$€-C0A]_-;\-* #,##0.00\ [$€-C0A]_-;_-* "-"??\ [$€-C0A]_-;_-@_-</c:formatCode>
                <c:ptCount val="75"/>
                <c:pt idx="0">
                  <c:v>-396.85000000000218</c:v>
                </c:pt>
                <c:pt idx="1">
                  <c:v>353.875</c:v>
                </c:pt>
                <c:pt idx="2">
                  <c:v>481.66333333333267</c:v>
                </c:pt>
                <c:pt idx="3">
                  <c:v>799.76749999999993</c:v>
                </c:pt>
                <c:pt idx="4">
                  <c:v>905.41199999999958</c:v>
                </c:pt>
                <c:pt idx="5">
                  <c:v>672.0916666666659</c:v>
                </c:pt>
                <c:pt idx="6">
                  <c:v>697.87714285714276</c:v>
                </c:pt>
                <c:pt idx="7">
                  <c:v>622.61624999999958</c:v>
                </c:pt>
                <c:pt idx="8">
                  <c:v>915.14888888888845</c:v>
                </c:pt>
                <c:pt idx="9">
                  <c:v>981.92099999999994</c:v>
                </c:pt>
                <c:pt idx="10">
                  <c:v>837.30363636363609</c:v>
                </c:pt>
                <c:pt idx="11">
                  <c:v>794.75416666666661</c:v>
                </c:pt>
                <c:pt idx="12">
                  <c:v>862.93499999999983</c:v>
                </c:pt>
                <c:pt idx="13">
                  <c:v>1062.0741666666665</c:v>
                </c:pt>
                <c:pt idx="14">
                  <c:v>1032.5183333333334</c:v>
                </c:pt>
                <c:pt idx="15">
                  <c:v>1099.3949999999998</c:v>
                </c:pt>
                <c:pt idx="16">
                  <c:v>1339.4133333333332</c:v>
                </c:pt>
                <c:pt idx="17">
                  <c:v>1285.4166666666672</c:v>
                </c:pt>
                <c:pt idx="18">
                  <c:v>1102.0116666666661</c:v>
                </c:pt>
                <c:pt idx="19">
                  <c:v>1368.6574999999996</c:v>
                </c:pt>
                <c:pt idx="20">
                  <c:v>1041.2358333333334</c:v>
                </c:pt>
                <c:pt idx="21">
                  <c:v>593.4758333333333</c:v>
                </c:pt>
                <c:pt idx="22">
                  <c:v>285.69250000000039</c:v>
                </c:pt>
                <c:pt idx="23">
                  <c:v>589.03666666666652</c:v>
                </c:pt>
                <c:pt idx="24">
                  <c:v>738.48250000000007</c:v>
                </c:pt>
                <c:pt idx="25">
                  <c:v>462.29916666666639</c:v>
                </c:pt>
                <c:pt idx="26">
                  <c:v>1024.0641666666663</c:v>
                </c:pt>
                <c:pt idx="27">
                  <c:v>1011.3774999999993</c:v>
                </c:pt>
                <c:pt idx="28">
                  <c:v>728.07833333333292</c:v>
                </c:pt>
                <c:pt idx="29">
                  <c:v>875.17333333333283</c:v>
                </c:pt>
                <c:pt idx="30">
                  <c:v>1394.0024999999998</c:v>
                </c:pt>
                <c:pt idx="31">
                  <c:v>1656.8983333333338</c:v>
                </c:pt>
                <c:pt idx="32">
                  <c:v>2056.8391666666666</c:v>
                </c:pt>
                <c:pt idx="33">
                  <c:v>2586.540833333333</c:v>
                </c:pt>
                <c:pt idx="34">
                  <c:v>3183.3433333333328</c:v>
                </c:pt>
                <c:pt idx="35">
                  <c:v>3067.1466666666674</c:v>
                </c:pt>
                <c:pt idx="36">
                  <c:v>2975.6525000000001</c:v>
                </c:pt>
                <c:pt idx="37">
                  <c:v>3171.5583333333338</c:v>
                </c:pt>
                <c:pt idx="38">
                  <c:v>2842.3616666666658</c:v>
                </c:pt>
                <c:pt idx="39">
                  <c:v>2749.1841666666674</c:v>
                </c:pt>
                <c:pt idx="40">
                  <c:v>2610.1225000000018</c:v>
                </c:pt>
                <c:pt idx="41">
                  <c:v>2881.8350000000005</c:v>
                </c:pt>
                <c:pt idx="42">
                  <c:v>2342.0883333333345</c:v>
                </c:pt>
                <c:pt idx="43">
                  <c:v>2386.3833333333328</c:v>
                </c:pt>
                <c:pt idx="44">
                  <c:v>1953.5083333333325</c:v>
                </c:pt>
                <c:pt idx="45">
                  <c:v>1720.9008333333331</c:v>
                </c:pt>
                <c:pt idx="46">
                  <c:v>1848.6633333333339</c:v>
                </c:pt>
                <c:pt idx="47">
                  <c:v>1531.5166666666664</c:v>
                </c:pt>
                <c:pt idx="48">
                  <c:v>1404.3900000000006</c:v>
                </c:pt>
                <c:pt idx="49">
                  <c:v>1022.7941666666653</c:v>
                </c:pt>
                <c:pt idx="50">
                  <c:v>1417.4641666666685</c:v>
                </c:pt>
                <c:pt idx="51">
                  <c:v>1252.8725000000002</c:v>
                </c:pt>
                <c:pt idx="52">
                  <c:v>1140.1449999999979</c:v>
                </c:pt>
                <c:pt idx="53">
                  <c:v>1168.5808333333334</c:v>
                </c:pt>
                <c:pt idx="54">
                  <c:v>1239.5550000000003</c:v>
                </c:pt>
                <c:pt idx="55">
                  <c:v>761.10333333333381</c:v>
                </c:pt>
                <c:pt idx="56">
                  <c:v>1277.6166666666675</c:v>
                </c:pt>
                <c:pt idx="57">
                  <c:v>1486.4375000000011</c:v>
                </c:pt>
                <c:pt idx="58">
                  <c:v>710.61499999999796</c:v>
                </c:pt>
                <c:pt idx="59">
                  <c:v>1265.1449999999993</c:v>
                </c:pt>
                <c:pt idx="60">
                  <c:v>1496.909166666667</c:v>
                </c:pt>
                <c:pt idx="61">
                  <c:v>2150.4558333333334</c:v>
                </c:pt>
                <c:pt idx="62">
                  <c:v>1718.4541666666676</c:v>
                </c:pt>
                <c:pt idx="63">
                  <c:v>1811.9575000000004</c:v>
                </c:pt>
                <c:pt idx="64">
                  <c:v>2105.5308333333319</c:v>
                </c:pt>
                <c:pt idx="65">
                  <c:v>1894.345</c:v>
                </c:pt>
                <c:pt idx="66">
                  <c:v>2457.3916666666642</c:v>
                </c:pt>
                <c:pt idx="67">
                  <c:v>2857.445000000002</c:v>
                </c:pt>
                <c:pt idx="68">
                  <c:v>2675.6924999999987</c:v>
                </c:pt>
                <c:pt idx="69">
                  <c:v>3295.8600000000019</c:v>
                </c:pt>
                <c:pt idx="70">
                  <c:v>4210.3516666666646</c:v>
                </c:pt>
                <c:pt idx="71">
                  <c:v>3660.186666666666</c:v>
                </c:pt>
                <c:pt idx="72">
                  <c:v>3878.3716666666637</c:v>
                </c:pt>
                <c:pt idx="73">
                  <c:v>3652.0616666666706</c:v>
                </c:pt>
                <c:pt idx="74">
                  <c:v>3872.7883333333352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6F-2A43-97A7-1404E2F5D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787088"/>
        <c:axId val="401730879"/>
      </c:lineChart>
      <c:catAx>
        <c:axId val="1760787088"/>
        <c:scaling>
          <c:orientation val="minMax"/>
        </c:scaling>
        <c:delete val="0"/>
        <c:axPos val="b"/>
        <c:numFmt formatCode="mmmm\ 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1730879"/>
        <c:crosses val="autoZero"/>
        <c:auto val="0"/>
        <c:lblAlgn val="ctr"/>
        <c:lblOffset val="100"/>
        <c:noMultiLvlLbl val="0"/>
      </c:catAx>
      <c:valAx>
        <c:axId val="40173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C0A]_-;\-* #,##0.00\ [$€-C0A]_-;_-* &quot;-&quot;??\ [$€-C0A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078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'Year Summary'!$B$1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'Year Summary'!$A$2:$A$8</c:f>
              <c:numCache>
                <c:formatCode>0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'Year Summary'!$B$2:$B$8</c:f>
              <c:numCache>
                <c:formatCode>_("€"* #,##0.00_);_("€"* \(#,##0.00\);_("€"* "-"??_);_(@_)</c:formatCode>
                <c:ptCount val="7"/>
                <c:pt idx="1">
                  <c:v>37239.503243313637</c:v>
                </c:pt>
                <c:pt idx="2">
                  <c:v>59162.579999999987</c:v>
                </c:pt>
                <c:pt idx="3">
                  <c:v>82504.25</c:v>
                </c:pt>
                <c:pt idx="4">
                  <c:v>119894.66999999998</c:v>
                </c:pt>
                <c:pt idx="5">
                  <c:v>109524.55</c:v>
                </c:pt>
                <c:pt idx="6">
                  <c:v>168969.99000000005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75D-884C-BD5E-B8156C42C78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'Year Summary'!$A$2:$A$8</c:f>
              <c:numCache>
                <c:formatCode>0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'Year Summary'!$C$2:$C$7</c:f>
              <c:numCache>
                <c:formatCode>_("€"* #,##0.00_);_("€"* \(#,##0.00\);_("€"* "-"??_);_(@_)</c:formatCode>
                <c:ptCount val="6"/>
                <c:pt idx="0">
                  <c:v>26314.799999999999</c:v>
                </c:pt>
                <c:pt idx="1">
                  <c:v>42738.689999999995</c:v>
                </c:pt>
                <c:pt idx="2">
                  <c:v>62621.47</c:v>
                </c:pt>
                <c:pt idx="3">
                  <c:v>91258.069999999992</c:v>
                </c:pt>
                <c:pt idx="4">
                  <c:v>100391.31</c:v>
                </c:pt>
                <c:pt idx="5">
                  <c:v>134680.65000000002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75D-884C-BD5E-B8156C42C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200960"/>
        <c:axId val="1129559520"/>
      </c:lineChart>
      <c:catAx>
        <c:axId val="113020096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9559520"/>
        <c:crosses val="autoZero"/>
        <c:auto val="1"/>
        <c:lblAlgn val="ctr"/>
        <c:lblOffset val="100"/>
        <c:noMultiLvlLbl val="0"/>
      </c:catAx>
      <c:valAx>
        <c:axId val="112955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]0,,&quot;M&quot;;[&gt;=1000]0,&quot;K&quot;;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020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EW/month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Helvetica Neue"/>
              <a:ea typeface="Helvetica Neue"/>
              <a:cs typeface="Helvetica Neue"/>
            </a:rPr>
            <a:t>Histogram of EW/month</a:t>
          </a:r>
        </a:p>
      </cx:txPr>
    </cx:title>
    <cx:plotArea>
      <cx:plotAreaRegion>
        <cx:series layoutId="clusteredColumn" uniqueId="{2E064FE1-F2EF-604A-8226-29B18B66FF94}">
          <cx:tx>
            <cx:txData>
              <cx:f>_xlchart.v1.0</cx:f>
              <cx:v> Balance of the month </cx:v>
            </cx:txData>
          </cx:tx>
          <cx:spPr>
            <a:solidFill>
              <a:schemeClr val="accent3">
                <a:lumMod val="40000"/>
                <a:lumOff val="60000"/>
              </a:schemeClr>
            </a:solidFill>
            <a:ln cap="rnd">
              <a:noFill/>
            </a:ln>
          </cx:spPr>
          <cx:dataPt idx="0">
            <cx:spPr>
              <a:solidFill>
                <a:srgbClr val="FF644E">
                  <a:lumMod val="40000"/>
                  <a:lumOff val="60000"/>
                </a:srgbClr>
              </a:solidFill>
              <a:ln cap="rnd">
                <a:noFill/>
              </a:ln>
            </cx:spPr>
          </cx:dataPt>
          <cx:dataPt idx="1">
            <cx:spPr>
              <a:solidFill>
                <a:srgbClr val="FF644E">
                  <a:lumMod val="40000"/>
                  <a:lumOff val="60000"/>
                </a:srgbClr>
              </a:solidFill>
              <a:ln cap="rnd">
                <a:noFill/>
              </a:ln>
            </cx:spPr>
          </cx:dataPt>
          <cx:dataPt idx="4"/>
          <cx:dataPt idx="5">
            <cx:spPr>
              <a:solidFill>
                <a:srgbClr val="FF644E">
                  <a:lumMod val="40000"/>
                  <a:lumOff val="60000"/>
                </a:srgbClr>
              </a:solidFill>
              <a:ln cap="rnd">
                <a:noFill/>
              </a:ln>
            </cx:spPr>
          </cx:dataPt>
          <cx:dataPt idx="6">
            <cx:spPr>
              <a:solidFill>
                <a:srgbClr val="FF644E">
                  <a:lumMod val="40000"/>
                  <a:lumOff val="60000"/>
                </a:srgbClr>
              </a:solidFill>
              <a:ln cap="rnd">
                <a:noFill/>
              </a:ln>
            </cx:spPr>
          </cx:dataPt>
          <cx:dataPt idx="7">
            <cx:spPr>
              <a:solidFill>
                <a:srgbClr val="FF644E">
                  <a:lumMod val="40000"/>
                  <a:lumOff val="60000"/>
                </a:srgbClr>
              </a:solidFill>
              <a:ln cap="rnd">
                <a:noFill/>
              </a:ln>
            </cx:spPr>
          </cx:dataPt>
          <cx:dataPt idx="8">
            <cx:spPr>
              <a:solidFill>
                <a:srgbClr val="FF644E">
                  <a:lumMod val="40000"/>
                  <a:lumOff val="60000"/>
                </a:srgbClr>
              </a:solidFill>
              <a:ln cap="rnd">
                <a:noFill/>
              </a:ln>
            </cx:spPr>
          </cx:dataPt>
          <cx:dataPt idx="9"/>
          <cx:dataPt idx="10"/>
          <cx:dataPt idx="16"/>
          <cx:dataId val="0"/>
          <cx:layoutPr>
            <cx:binning intervalClosed="r" underflow="-4000" overflow="10000">
              <cx:binSize val="5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0</xdr:colOff>
      <xdr:row>27</xdr:row>
      <xdr:rowOff>55217</xdr:rowOff>
    </xdr:to>
    <xdr:graphicFrame macro="">
      <xdr:nvGraphicFramePr>
        <xdr:cNvPr id="7" name="Gráfico 4">
          <a:extLst>
            <a:ext uri="{FF2B5EF4-FFF2-40B4-BE49-F238E27FC236}">
              <a16:creationId xmlns:a16="http://schemas.microsoft.com/office/drawing/2014/main" id="{E7A356D0-4A21-A344-9A88-69F1B4960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15167</xdr:colOff>
      <xdr:row>0</xdr:row>
      <xdr:rowOff>0</xdr:rowOff>
    </xdr:from>
    <xdr:to>
      <xdr:col>26</xdr:col>
      <xdr:colOff>622559</xdr:colOff>
      <xdr:row>27</xdr:row>
      <xdr:rowOff>44174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8228E0-8B5C-384C-BB66-E2D617C39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27</xdr:row>
      <xdr:rowOff>55216</xdr:rowOff>
    </xdr:from>
    <xdr:to>
      <xdr:col>21</xdr:col>
      <xdr:colOff>0</xdr:colOff>
      <xdr:row>51</xdr:row>
      <xdr:rowOff>44174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BA8DF6-6B85-E346-98AA-5303C0966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51</xdr:row>
      <xdr:rowOff>44174</xdr:rowOff>
    </xdr:from>
    <xdr:to>
      <xdr:col>20</xdr:col>
      <xdr:colOff>795663</xdr:colOff>
      <xdr:row>73</xdr:row>
      <xdr:rowOff>121478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4994FF1-2572-B641-9D6D-87BFF7C3C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73</xdr:row>
      <xdr:rowOff>121476</xdr:rowOff>
    </xdr:from>
    <xdr:to>
      <xdr:col>20</xdr:col>
      <xdr:colOff>810963</xdr:colOff>
      <xdr:row>104</xdr:row>
      <xdr:rowOff>110434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8">
              <a:extLst>
                <a:ext uri="{FF2B5EF4-FFF2-40B4-BE49-F238E27FC236}">
                  <a16:creationId xmlns:a16="http://schemas.microsoft.com/office/drawing/2014/main" id="{18C027E1-A164-F348-B6AE-E6AD24451AA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173776"/>
              <a:ext cx="17066963" cy="51070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0</xdr:row>
      <xdr:rowOff>20320</xdr:rowOff>
    </xdr:from>
    <xdr:to>
      <xdr:col>15</xdr:col>
      <xdr:colOff>101600</xdr:colOff>
      <xdr:row>23</xdr:row>
      <xdr:rowOff>142240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C8FEC2-2BFD-814B-B3B6-D083DB40D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_1" connectionId="1" xr16:uid="{00000000-0016-0000-0500-000000000000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259D70-728F-4649-A617-E6087DB1EE57}" name="Tabla3" displayName="Tabla3" ref="A1:J80" totalsRowShown="0" headerRowDxfId="22" dataDxfId="21" tableBorderDxfId="20">
  <autoFilter ref="A1:J80" xr:uid="{00259D70-728F-4649-A617-E6087DB1EE57}">
    <filterColumn colId="0">
      <filters>
        <dateGroupItem year="2024" dateTimeGrouping="year"/>
        <dateGroupItem year="2023" dateTimeGrouping="year"/>
        <dateGroupItem year="2022" dateTimeGrouping="year"/>
        <dateGroupItem year="2021" dateTimeGrouping="year"/>
        <dateGroupItem year="2020" dateTimeGrouping="year"/>
        <dateGroupItem year="2019" dateTimeGrouping="year"/>
        <dateGroupItem year="2018" dateTimeGrouping="year"/>
      </filters>
    </filterColumn>
  </autoFilter>
  <tableColumns count="10">
    <tableColumn id="1" xr3:uid="{BAF62828-40F3-E04C-9A7C-06FA44359332}" name="Date" dataDxfId="19"/>
    <tableColumn id="2" xr3:uid="{4161F10E-98EC-CE42-904A-F1E4365CE270}" name=" Cash " dataDxfId="18"/>
    <tableColumn id="3" xr3:uid="{8B4472A7-FBF7-FD4E-8BCC-F9ED64384080}" name=" Stocks " dataDxfId="17"/>
    <tableColumn id="4" xr3:uid="{5E1EE13B-710B-E74D-B5AC-42F67EA1C19E}" name=" Crypto " dataDxfId="16"/>
    <tableColumn id="6" xr3:uid="{BC6CFDF7-CAB9-064E-9519-070C9B7E4B34}" name="House" dataDxfId="15" dataCellStyle="Millares"/>
    <tableColumn id="10" xr3:uid="{2E497884-D331-CF49-8BB1-4AD043096C92}" name="Debt" dataDxfId="14" dataCellStyle="Millares"/>
    <tableColumn id="5" xr3:uid="{34B053CE-19F8-3741-B7F5-EAA83D735480}" name="Blocked" dataDxfId="13"/>
    <tableColumn id="7" xr3:uid="{51933A4B-8B00-4446-B9D1-DB14BD7001D6}" name="Total" dataDxfId="12"/>
    <tableColumn id="8" xr3:uid="{737CB36B-E692-F346-8E0D-97D2FC393D57}" name="Balance of the month" dataDxfId="11" dataCellStyle="Moneda"/>
    <tableColumn id="9" xr3:uid="{B3A350F9-B688-104E-99ED-E5493191E601}" name="MA 12m" dataDxfId="10"/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B1A25-0E4E-C44E-B86C-5D8CED2BB7FD}" name="Tabla1" displayName="Tabla1" ref="A1:D8" totalsRowShown="0">
  <autoFilter ref="A1:D8" xr:uid="{023B1A25-0E4E-C44E-B86C-5D8CED2BB7FD}"/>
  <tableColumns count="4">
    <tableColumn id="1" xr3:uid="{A615B971-8935-A048-ACF9-0EBC6AF42D65}" name="Year" dataDxfId="9"/>
    <tableColumn id="5" xr3:uid="{9F882737-6941-3D4D-97D6-48F1CADCBF34}" name="Forecast" dataDxfId="8"/>
    <tableColumn id="2" xr3:uid="{B969D775-D1B9-8B4F-8BD0-561341D59EF7}" name="Total" dataCellStyle="Moneda"/>
    <tableColumn id="3" xr3:uid="{DA6EE200-0973-A945-96DD-118DFA5896D4}" name="Change since last year" dataDxfId="7" dataCellStyle="Moneda">
      <calculatedColumnFormula>C2-C1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80"/>
  <sheetViews>
    <sheetView showGridLines="0" showZeros="0" tabSelected="1" zoomScale="112" zoomScaleNormal="140" workbookViewId="0">
      <pane ySplit="1" topLeftCell="A52" activePane="bottomLeft" state="frozen"/>
      <selection activeCell="E1" sqref="E1"/>
      <selection pane="bottomLeft" activeCell="L56" sqref="L56"/>
    </sheetView>
  </sheetViews>
  <sheetFormatPr baseColWidth="10" defaultColWidth="16.33203125" defaultRowHeight="18" customHeight="1" x14ac:dyDescent="0.15"/>
  <cols>
    <col min="1" max="1" width="15.83203125" style="5" customWidth="1"/>
    <col min="2" max="5" width="15.83203125" style="2" customWidth="1"/>
    <col min="6" max="6" width="15.5" style="2" customWidth="1"/>
    <col min="7" max="7" width="3.1640625" style="2" hidden="1" customWidth="1"/>
    <col min="8" max="8" width="15.83203125" style="2" customWidth="1"/>
    <col min="11" max="16384" width="16.33203125" style="1"/>
  </cols>
  <sheetData>
    <row r="1" spans="1:10" ht="35" customHeight="1" x14ac:dyDescent="0.15">
      <c r="A1" s="6" t="s">
        <v>3</v>
      </c>
      <c r="B1" s="8" t="s">
        <v>6</v>
      </c>
      <c r="C1" s="8" t="s">
        <v>7</v>
      </c>
      <c r="D1" s="8" t="s">
        <v>8</v>
      </c>
      <c r="E1" s="8" t="s">
        <v>15</v>
      </c>
      <c r="F1" s="8" t="s">
        <v>14</v>
      </c>
      <c r="G1" s="8" t="s">
        <v>2</v>
      </c>
      <c r="H1" s="8" t="s">
        <v>0</v>
      </c>
      <c r="I1" s="8" t="s">
        <v>9</v>
      </c>
      <c r="J1" s="8" t="s">
        <v>10</v>
      </c>
    </row>
    <row r="2" spans="1:10" ht="18" customHeight="1" x14ac:dyDescent="0.15">
      <c r="A2" s="5">
        <f>'Raw Data'!A2</f>
        <v>43221</v>
      </c>
      <c r="B2" s="2">
        <f>'Raw Data'!B2</f>
        <v>15131.32</v>
      </c>
      <c r="C2" s="2">
        <f>'Raw Data'!C2</f>
        <v>2077.58</v>
      </c>
      <c r="D2" s="2">
        <f>'Raw Data'!D2</f>
        <v>3124.97</v>
      </c>
      <c r="G2" s="2">
        <f>'Raw Data'!E2</f>
        <v>1000</v>
      </c>
      <c r="H2" s="9">
        <f t="shared" ref="H2:H33" si="0">IF(SUM(B2:G2)=0, "-", SUM(B2:G2))</f>
        <v>21333.870000000003</v>
      </c>
      <c r="I2" s="2"/>
      <c r="J2" s="2"/>
    </row>
    <row r="3" spans="1:10" ht="18" customHeight="1" x14ac:dyDescent="0.15">
      <c r="A3" s="5">
        <f>'Raw Data'!A3</f>
        <v>43252</v>
      </c>
      <c r="B3" s="2">
        <f>'Raw Data'!B3</f>
        <v>13377.56</v>
      </c>
      <c r="C3" s="2">
        <f>'Raw Data'!C3</f>
        <v>3983.65</v>
      </c>
      <c r="D3" s="2">
        <f>'Raw Data'!D3</f>
        <v>2575.81</v>
      </c>
      <c r="G3" s="2">
        <f>'Raw Data'!E3</f>
        <v>1000</v>
      </c>
      <c r="H3" s="9">
        <f t="shared" si="0"/>
        <v>20937.02</v>
      </c>
      <c r="I3" s="10">
        <f t="shared" ref="I3:I33" si="1">H3-H2</f>
        <v>-396.85000000000218</v>
      </c>
      <c r="J3" s="9">
        <f>IF(H3="-", "-", AVERAGE(I3))</f>
        <v>-396.85000000000218</v>
      </c>
    </row>
    <row r="4" spans="1:10" ht="18" customHeight="1" x14ac:dyDescent="0.15">
      <c r="A4" s="5">
        <f>'Raw Data'!A4</f>
        <v>43282</v>
      </c>
      <c r="B4" s="2">
        <f>'Raw Data'!B4</f>
        <v>9933.93</v>
      </c>
      <c r="C4" s="2">
        <f>'Raw Data'!C4</f>
        <v>9001.2900000000009</v>
      </c>
      <c r="D4" s="2">
        <f>'Raw Data'!D4</f>
        <v>2106.4</v>
      </c>
      <c r="G4" s="2">
        <f>'Raw Data'!E4</f>
        <v>1000</v>
      </c>
      <c r="H4" s="9">
        <f t="shared" si="0"/>
        <v>22041.620000000003</v>
      </c>
      <c r="I4" s="9">
        <f t="shared" si="1"/>
        <v>1104.6000000000022</v>
      </c>
      <c r="J4" s="9">
        <f>IF(H4="-", "-", AVERAGE(I3:I4))</f>
        <v>353.875</v>
      </c>
    </row>
    <row r="5" spans="1:10" ht="18" customHeight="1" x14ac:dyDescent="0.15">
      <c r="A5" s="5">
        <f>'Raw Data'!A5</f>
        <v>43313</v>
      </c>
      <c r="B5" s="2">
        <f>'Raw Data'!B5</f>
        <v>9840.35</v>
      </c>
      <c r="C5" s="2">
        <f>'Raw Data'!C5</f>
        <v>10031.31</v>
      </c>
      <c r="D5" s="2">
        <f>'Raw Data'!D5</f>
        <v>1907.2</v>
      </c>
      <c r="G5" s="2">
        <f>'Raw Data'!E5</f>
        <v>1000</v>
      </c>
      <c r="H5" s="9">
        <f t="shared" si="0"/>
        <v>22778.86</v>
      </c>
      <c r="I5" s="10">
        <f t="shared" si="1"/>
        <v>737.23999999999796</v>
      </c>
      <c r="J5" s="9">
        <f>IF(H5="-", "-", AVERAGE(I3:I5))</f>
        <v>481.66333333333267</v>
      </c>
    </row>
    <row r="6" spans="1:10" ht="18" customHeight="1" x14ac:dyDescent="0.15">
      <c r="A6" s="5">
        <f>'Raw Data'!A6</f>
        <v>43344</v>
      </c>
      <c r="B6" s="2">
        <f>'Raw Data'!B6</f>
        <v>11333.93</v>
      </c>
      <c r="C6" s="2">
        <f>'Raw Data'!C6</f>
        <v>10897.33</v>
      </c>
      <c r="D6" s="2">
        <f>'Raw Data'!D6</f>
        <v>1301.68</v>
      </c>
      <c r="G6" s="2">
        <f>'Raw Data'!E6</f>
        <v>1000</v>
      </c>
      <c r="H6" s="9">
        <f t="shared" si="0"/>
        <v>24532.940000000002</v>
      </c>
      <c r="I6" s="9">
        <f t="shared" si="1"/>
        <v>1754.0800000000017</v>
      </c>
      <c r="J6" s="9">
        <f>IF(H6="-", "-", AVERAGE(I3:I6))</f>
        <v>799.76749999999993</v>
      </c>
    </row>
    <row r="7" spans="1:10" ht="18" customHeight="1" x14ac:dyDescent="0.15">
      <c r="A7" s="5">
        <f>'Raw Data'!A7</f>
        <v>43374</v>
      </c>
      <c r="B7" s="2">
        <f>'Raw Data'!B7</f>
        <v>12109.3</v>
      </c>
      <c r="C7" s="2">
        <f>'Raw Data'!C7</f>
        <v>11666.5</v>
      </c>
      <c r="D7" s="2">
        <f>'Raw Data'!D7</f>
        <v>1085.1300000000001</v>
      </c>
      <c r="G7" s="2">
        <f>'Raw Data'!E7</f>
        <v>1000</v>
      </c>
      <c r="H7" s="9">
        <f t="shared" si="0"/>
        <v>25860.93</v>
      </c>
      <c r="I7" s="10">
        <f t="shared" si="1"/>
        <v>1327.989999999998</v>
      </c>
      <c r="J7" s="9">
        <f>IF(H7="-", "-", AVERAGE(I3:I7))</f>
        <v>905.41199999999958</v>
      </c>
    </row>
    <row r="8" spans="1:10" ht="18" customHeight="1" x14ac:dyDescent="0.15">
      <c r="A8" s="5">
        <f>'Raw Data'!A8</f>
        <v>43405</v>
      </c>
      <c r="B8" s="2">
        <f>'Raw Data'!B8</f>
        <v>12519.97</v>
      </c>
      <c r="C8" s="2">
        <f>'Raw Data'!C8</f>
        <v>10920.72</v>
      </c>
      <c r="D8" s="2">
        <f>'Raw Data'!D8</f>
        <v>925.73</v>
      </c>
      <c r="G8" s="2">
        <f>'Raw Data'!E8</f>
        <v>1000</v>
      </c>
      <c r="H8" s="9">
        <f t="shared" si="0"/>
        <v>25366.42</v>
      </c>
      <c r="I8" s="9">
        <f t="shared" si="1"/>
        <v>-494.51000000000204</v>
      </c>
      <c r="J8" s="9">
        <f>IF(H8="-", "-", AVERAGE(I3:I8))</f>
        <v>672.0916666666659</v>
      </c>
    </row>
    <row r="9" spans="1:10" ht="18" customHeight="1" x14ac:dyDescent="0.15">
      <c r="A9" s="5">
        <f>'Raw Data'!A9</f>
        <v>43435</v>
      </c>
      <c r="B9" s="2">
        <f>'Raw Data'!B9</f>
        <v>13422.25</v>
      </c>
      <c r="C9" s="2">
        <f>'Raw Data'!C9</f>
        <v>11235.19</v>
      </c>
      <c r="D9" s="2">
        <f>'Raw Data'!D9</f>
        <v>561.57000000000005</v>
      </c>
      <c r="G9" s="2">
        <f>'Raw Data'!E9</f>
        <v>1000</v>
      </c>
      <c r="H9" s="9">
        <f t="shared" si="0"/>
        <v>26219.010000000002</v>
      </c>
      <c r="I9" s="10">
        <f t="shared" si="1"/>
        <v>852.59000000000378</v>
      </c>
      <c r="J9" s="9">
        <f>IF(H9="-", "-", AVERAGE(I3:I9))</f>
        <v>697.87714285714276</v>
      </c>
    </row>
    <row r="10" spans="1:10" ht="18" customHeight="1" x14ac:dyDescent="0.15">
      <c r="A10" s="5">
        <f>'Raw Data'!A10</f>
        <v>43466</v>
      </c>
      <c r="B10" s="2">
        <f>'Raw Data'!B10</f>
        <v>14488.03</v>
      </c>
      <c r="C10" s="2">
        <f>'Raw Data'!C10</f>
        <v>10174</v>
      </c>
      <c r="D10" s="2">
        <f>'Raw Data'!D10</f>
        <v>652.77</v>
      </c>
      <c r="G10" s="2">
        <f>'Raw Data'!E10</f>
        <v>1000</v>
      </c>
      <c r="H10" s="9">
        <f t="shared" si="0"/>
        <v>26314.799999999999</v>
      </c>
      <c r="I10" s="9">
        <f t="shared" si="1"/>
        <v>95.789999999997235</v>
      </c>
      <c r="J10" s="9">
        <f>IF(H10="-", "-", AVERAGE(I3:I10))</f>
        <v>622.61624999999958</v>
      </c>
    </row>
    <row r="11" spans="1:10" ht="18" customHeight="1" x14ac:dyDescent="0.15">
      <c r="A11" s="5">
        <f>'Raw Data'!A11</f>
        <v>43497</v>
      </c>
      <c r="B11" s="2">
        <f>'Raw Data'!B11</f>
        <v>16991.37</v>
      </c>
      <c r="C11" s="2">
        <f>'Raw Data'!C11</f>
        <v>11057.73</v>
      </c>
      <c r="D11" s="2">
        <f>'Raw Data'!D11</f>
        <v>521.11</v>
      </c>
      <c r="G11" s="2">
        <f>'Raw Data'!E11</f>
        <v>1000</v>
      </c>
      <c r="H11" s="9">
        <f t="shared" si="0"/>
        <v>29570.21</v>
      </c>
      <c r="I11" s="10">
        <f t="shared" si="1"/>
        <v>3255.41</v>
      </c>
      <c r="J11" s="9">
        <f>IF(H11="-", "-", AVERAGE(I3:I11))</f>
        <v>915.14888888888845</v>
      </c>
    </row>
    <row r="12" spans="1:10" ht="18" customHeight="1" x14ac:dyDescent="0.15">
      <c r="A12" s="5">
        <f>'Raw Data'!A12</f>
        <v>43525</v>
      </c>
      <c r="B12" s="2">
        <f>'Raw Data'!B12</f>
        <v>14083.27</v>
      </c>
      <c r="C12" s="2">
        <f>'Raw Data'!C12</f>
        <v>15439.84</v>
      </c>
      <c r="D12" s="2">
        <f>'Raw Data'!D12</f>
        <v>629.97</v>
      </c>
      <c r="G12" s="2">
        <f>'Raw Data'!E12</f>
        <v>1000</v>
      </c>
      <c r="H12" s="9">
        <f t="shared" si="0"/>
        <v>31153.08</v>
      </c>
      <c r="I12" s="9">
        <f t="shared" si="1"/>
        <v>1582.8700000000026</v>
      </c>
      <c r="J12" s="9">
        <f>IF(H12="-", "-", AVERAGE(I3:I12))</f>
        <v>981.92099999999994</v>
      </c>
    </row>
    <row r="13" spans="1:10" ht="18" customHeight="1" x14ac:dyDescent="0.15">
      <c r="A13" s="5">
        <f>'Raw Data'!A13</f>
        <v>43556</v>
      </c>
      <c r="B13" s="2">
        <f>'Raw Data'!B13</f>
        <v>10523.69</v>
      </c>
      <c r="C13" s="2">
        <f>'Raw Data'!C13</f>
        <v>16379.9</v>
      </c>
      <c r="D13" s="2">
        <f>'Raw Data'!D13</f>
        <v>690.62</v>
      </c>
      <c r="G13" s="2">
        <f>'Raw Data'!E13</f>
        <v>2950</v>
      </c>
      <c r="H13" s="9">
        <f t="shared" si="0"/>
        <v>30544.21</v>
      </c>
      <c r="I13" s="10">
        <f t="shared" si="1"/>
        <v>-608.87000000000262</v>
      </c>
      <c r="J13" s="9">
        <f>IF(H13="-", "-", AVERAGE(I3:I13))</f>
        <v>837.30363636363609</v>
      </c>
    </row>
    <row r="14" spans="1:10" ht="18" customHeight="1" x14ac:dyDescent="0.15">
      <c r="A14" s="5">
        <f>'Raw Data'!A14</f>
        <v>43586</v>
      </c>
      <c r="B14" s="2">
        <f>'Raw Data'!B14</f>
        <v>10210.41</v>
      </c>
      <c r="C14" s="2">
        <f>'Raw Data'!C14</f>
        <v>17965.990000000002</v>
      </c>
      <c r="D14" s="2">
        <f>'Raw Data'!D14</f>
        <v>744.52</v>
      </c>
      <c r="G14" s="2">
        <f>'Raw Data'!E14</f>
        <v>1950</v>
      </c>
      <c r="H14" s="9">
        <f t="shared" si="0"/>
        <v>30870.920000000002</v>
      </c>
      <c r="I14" s="9">
        <f t="shared" si="1"/>
        <v>326.71000000000276</v>
      </c>
      <c r="J14" s="10">
        <f t="shared" ref="J14:J45" si="2">IF(H14="-", "-", AVERAGE(I3:I14))</f>
        <v>794.75416666666661</v>
      </c>
    </row>
    <row r="15" spans="1:10" ht="18" customHeight="1" x14ac:dyDescent="0.15">
      <c r="A15" s="5">
        <f>'Raw Data'!A15</f>
        <v>43617</v>
      </c>
      <c r="B15" s="2">
        <f>'Raw Data'!B15</f>
        <v>10177.23</v>
      </c>
      <c r="C15" s="2">
        <f>'Raw Data'!C15</f>
        <v>17930.71</v>
      </c>
      <c r="D15" s="2">
        <f>'Raw Data'!D15</f>
        <v>1234.3</v>
      </c>
      <c r="G15" s="2">
        <f>'Raw Data'!E15</f>
        <v>1950</v>
      </c>
      <c r="H15" s="9">
        <f t="shared" si="0"/>
        <v>31292.239999999998</v>
      </c>
      <c r="I15" s="10">
        <f t="shared" si="1"/>
        <v>421.31999999999607</v>
      </c>
      <c r="J15" s="10">
        <f t="shared" si="2"/>
        <v>862.93499999999983</v>
      </c>
    </row>
    <row r="16" spans="1:10" ht="18" customHeight="1" x14ac:dyDescent="0.15">
      <c r="A16" s="5">
        <f>'Raw Data'!A16</f>
        <v>43647</v>
      </c>
      <c r="B16" s="2">
        <f>'Raw Data'!B16</f>
        <v>12986.78</v>
      </c>
      <c r="C16" s="2">
        <f>'Raw Data'!C16</f>
        <v>18498.34</v>
      </c>
      <c r="D16" s="2">
        <f>'Raw Data'!D16</f>
        <v>1351.39</v>
      </c>
      <c r="G16" s="2">
        <f>'Raw Data'!E16</f>
        <v>1950</v>
      </c>
      <c r="H16" s="9">
        <f t="shared" si="0"/>
        <v>34786.51</v>
      </c>
      <c r="I16" s="9">
        <f t="shared" si="1"/>
        <v>3494.2700000000041</v>
      </c>
      <c r="J16" s="10">
        <f t="shared" si="2"/>
        <v>1062.0741666666665</v>
      </c>
    </row>
    <row r="17" spans="1:10" ht="18" customHeight="1" x14ac:dyDescent="0.15">
      <c r="A17" s="5">
        <f>'Raw Data'!A17</f>
        <v>43678</v>
      </c>
      <c r="B17" s="2">
        <f>'Raw Data'!B17</f>
        <v>13029.61</v>
      </c>
      <c r="C17" s="2">
        <f>'Raw Data'!C17</f>
        <v>19161.87</v>
      </c>
      <c r="D17" s="2">
        <f>'Raw Data'!D17</f>
        <v>1027.5999999999999</v>
      </c>
      <c r="G17" s="2">
        <f>'Raw Data'!E17</f>
        <v>1950</v>
      </c>
      <c r="H17" s="9">
        <f t="shared" si="0"/>
        <v>35169.08</v>
      </c>
      <c r="I17" s="10">
        <f t="shared" si="1"/>
        <v>382.56999999999971</v>
      </c>
      <c r="J17" s="10">
        <f t="shared" si="2"/>
        <v>1032.5183333333334</v>
      </c>
    </row>
    <row r="18" spans="1:10" ht="18" customHeight="1" x14ac:dyDescent="0.15">
      <c r="A18" s="5">
        <f>'Raw Data'!A18</f>
        <v>43709</v>
      </c>
      <c r="B18" s="2">
        <f>'Raw Data'!B18</f>
        <v>16327.6</v>
      </c>
      <c r="C18" s="2">
        <f>'Raw Data'!C18</f>
        <v>18629.330000000002</v>
      </c>
      <c r="D18" s="2">
        <f>'Raw Data'!D18</f>
        <v>818.75</v>
      </c>
      <c r="G18" s="2">
        <f>'Raw Data'!E18</f>
        <v>1950</v>
      </c>
      <c r="H18" s="9">
        <f t="shared" si="0"/>
        <v>37725.68</v>
      </c>
      <c r="I18" s="9">
        <f t="shared" si="1"/>
        <v>2556.5999999999985</v>
      </c>
      <c r="J18" s="10">
        <f t="shared" si="2"/>
        <v>1099.3949999999998</v>
      </c>
    </row>
    <row r="19" spans="1:10" ht="18" customHeight="1" x14ac:dyDescent="0.15">
      <c r="A19" s="5">
        <f>'Raw Data'!A19</f>
        <v>43739</v>
      </c>
      <c r="B19" s="2">
        <f>'Raw Data'!B19</f>
        <v>19851.43</v>
      </c>
      <c r="C19" s="2">
        <f>'Raw Data'!C19</f>
        <v>19265.21</v>
      </c>
      <c r="D19" s="2">
        <f>'Raw Data'!D19</f>
        <v>867.25</v>
      </c>
      <c r="G19" s="2">
        <f>'Raw Data'!E19</f>
        <v>1950</v>
      </c>
      <c r="H19" s="9">
        <f t="shared" si="0"/>
        <v>41933.89</v>
      </c>
      <c r="I19" s="10">
        <f t="shared" si="1"/>
        <v>4208.2099999999991</v>
      </c>
      <c r="J19" s="10">
        <f t="shared" si="2"/>
        <v>1339.4133333333332</v>
      </c>
    </row>
    <row r="20" spans="1:10" ht="18" customHeight="1" x14ac:dyDescent="0.15">
      <c r="A20" s="5">
        <f>'Raw Data'!A20</f>
        <v>43770</v>
      </c>
      <c r="B20" s="2">
        <f>'Raw Data'!B20</f>
        <v>18516.47</v>
      </c>
      <c r="C20" s="2">
        <f>'Raw Data'!C20</f>
        <v>19452.52</v>
      </c>
      <c r="D20" s="2">
        <f>'Raw Data'!D20</f>
        <v>872.43</v>
      </c>
      <c r="G20" s="2">
        <f>'Raw Data'!E20</f>
        <v>1950</v>
      </c>
      <c r="H20" s="9">
        <f t="shared" si="0"/>
        <v>40791.420000000006</v>
      </c>
      <c r="I20" s="9">
        <f t="shared" si="1"/>
        <v>-1142.4699999999939</v>
      </c>
      <c r="J20" s="10">
        <f t="shared" si="2"/>
        <v>1285.4166666666672</v>
      </c>
    </row>
    <row r="21" spans="1:10" ht="18" customHeight="1" x14ac:dyDescent="0.15">
      <c r="A21" s="5">
        <f>'Raw Data'!A21</f>
        <v>43800</v>
      </c>
      <c r="B21" s="2">
        <f>'Raw Data'!B21</f>
        <v>16942.349999999999</v>
      </c>
      <c r="C21" s="2">
        <f>'Raw Data'!C21</f>
        <v>19827.169999999998</v>
      </c>
      <c r="D21" s="2">
        <f>'Raw Data'!D21</f>
        <v>723.63</v>
      </c>
      <c r="G21" s="2">
        <f>'Raw Data'!E21</f>
        <v>1950</v>
      </c>
      <c r="H21" s="9">
        <f t="shared" si="0"/>
        <v>39443.149999999994</v>
      </c>
      <c r="I21" s="10">
        <f t="shared" si="1"/>
        <v>-1348.2700000000114</v>
      </c>
      <c r="J21" s="10">
        <f t="shared" si="2"/>
        <v>1102.0116666666661</v>
      </c>
    </row>
    <row r="22" spans="1:10" ht="18" customHeight="1" x14ac:dyDescent="0.15">
      <c r="A22" s="5">
        <f>'Raw Data'!A22</f>
        <v>43831</v>
      </c>
      <c r="B22" s="2">
        <f>'Raw Data'!B22</f>
        <v>19639.07</v>
      </c>
      <c r="C22" s="2">
        <f>'Raw Data'!C22</f>
        <v>20502.91</v>
      </c>
      <c r="D22" s="2">
        <f>'Raw Data'!D22</f>
        <v>646.71</v>
      </c>
      <c r="G22" s="2">
        <f>'Raw Data'!E22</f>
        <v>1950</v>
      </c>
      <c r="H22" s="9">
        <f t="shared" si="0"/>
        <v>42738.689999999995</v>
      </c>
      <c r="I22" s="9">
        <f t="shared" si="1"/>
        <v>3295.5400000000009</v>
      </c>
      <c r="J22" s="10">
        <f t="shared" si="2"/>
        <v>1368.6574999999996</v>
      </c>
    </row>
    <row r="23" spans="1:10" ht="18" customHeight="1" x14ac:dyDescent="0.15">
      <c r="A23" s="5">
        <f>'Raw Data'!A23</f>
        <v>43862</v>
      </c>
      <c r="B23" s="2">
        <f>'Raw Data'!B23</f>
        <v>18307.38</v>
      </c>
      <c r="C23" s="2">
        <f>'Raw Data'!C23</f>
        <v>20884.810000000001</v>
      </c>
      <c r="D23" s="2">
        <f>'Raw Data'!D23</f>
        <v>922.85</v>
      </c>
      <c r="G23" s="2">
        <f>'Raw Data'!E23</f>
        <v>1950</v>
      </c>
      <c r="H23" s="9">
        <f t="shared" si="0"/>
        <v>42065.04</v>
      </c>
      <c r="I23" s="10">
        <f t="shared" si="1"/>
        <v>-673.64999999999418</v>
      </c>
      <c r="J23" s="10">
        <f t="shared" si="2"/>
        <v>1041.2358333333334</v>
      </c>
    </row>
    <row r="24" spans="1:10" ht="18" customHeight="1" x14ac:dyDescent="0.15">
      <c r="A24" s="5">
        <f>'Raw Data'!A24</f>
        <v>43891</v>
      </c>
      <c r="B24" s="2">
        <f>'Raw Data'!B24</f>
        <v>16198.57</v>
      </c>
      <c r="C24" s="2">
        <f>'Raw Data'!C24</f>
        <v>19034.54</v>
      </c>
      <c r="D24" s="2">
        <f>'Raw Data'!D24</f>
        <v>1091.68</v>
      </c>
      <c r="G24" s="2">
        <f>'Raw Data'!E24</f>
        <v>1950</v>
      </c>
      <c r="H24" s="9">
        <f t="shared" si="0"/>
        <v>38274.79</v>
      </c>
      <c r="I24" s="9">
        <f t="shared" si="1"/>
        <v>-3790.25</v>
      </c>
      <c r="J24" s="10">
        <f t="shared" si="2"/>
        <v>593.4758333333333</v>
      </c>
    </row>
    <row r="25" spans="1:10" ht="18" customHeight="1" x14ac:dyDescent="0.15">
      <c r="A25" s="5">
        <f>'Raw Data'!A25</f>
        <v>43922</v>
      </c>
      <c r="B25" s="2">
        <f>'Raw Data'!B25</f>
        <v>14852.19</v>
      </c>
      <c r="C25" s="2">
        <f>'Raw Data'!C25</f>
        <v>16517.47</v>
      </c>
      <c r="D25" s="2">
        <f>'Raw Data'!D25</f>
        <v>652.86</v>
      </c>
      <c r="G25" s="2">
        <f>'Raw Data'!E25</f>
        <v>1950</v>
      </c>
      <c r="H25" s="9">
        <f t="shared" si="0"/>
        <v>33972.520000000004</v>
      </c>
      <c r="I25" s="10">
        <f t="shared" si="1"/>
        <v>-4302.2699999999968</v>
      </c>
      <c r="J25" s="10">
        <f t="shared" si="2"/>
        <v>285.69250000000039</v>
      </c>
    </row>
    <row r="26" spans="1:10" ht="18" customHeight="1" x14ac:dyDescent="0.15">
      <c r="A26" s="5">
        <f>'Raw Data'!A26</f>
        <v>43952</v>
      </c>
      <c r="B26" s="2">
        <f>'Raw Data'!B26</f>
        <v>16344.09</v>
      </c>
      <c r="C26" s="2">
        <f>'Raw Data'!C26</f>
        <v>18597.98</v>
      </c>
      <c r="D26" s="2">
        <f>'Raw Data'!D26</f>
        <v>1047.29</v>
      </c>
      <c r="G26" s="2">
        <f>'Raw Data'!E26</f>
        <v>1950</v>
      </c>
      <c r="H26" s="9">
        <f t="shared" si="0"/>
        <v>37939.360000000001</v>
      </c>
      <c r="I26" s="9">
        <f t="shared" si="1"/>
        <v>3966.8399999999965</v>
      </c>
      <c r="J26" s="10">
        <f t="shared" si="2"/>
        <v>589.03666666666652</v>
      </c>
    </row>
    <row r="27" spans="1:10" ht="18" customHeight="1" x14ac:dyDescent="0.15">
      <c r="A27" s="5">
        <f>'Raw Data'!A27</f>
        <v>43983</v>
      </c>
      <c r="B27" s="2">
        <f>'Raw Data'!B27</f>
        <v>18152</v>
      </c>
      <c r="C27" s="2">
        <f>'Raw Data'!C27</f>
        <v>18928.79</v>
      </c>
      <c r="D27" s="2">
        <f>'Raw Data'!D27</f>
        <v>1123.24</v>
      </c>
      <c r="G27" s="2">
        <f>'Raw Data'!E27</f>
        <v>1950</v>
      </c>
      <c r="H27" s="9">
        <f t="shared" si="0"/>
        <v>40154.03</v>
      </c>
      <c r="I27" s="10">
        <f t="shared" si="1"/>
        <v>2214.6699999999983</v>
      </c>
      <c r="J27" s="10">
        <f t="shared" si="2"/>
        <v>738.48250000000007</v>
      </c>
    </row>
    <row r="28" spans="1:10" ht="18" customHeight="1" x14ac:dyDescent="0.15">
      <c r="A28" s="5">
        <f>'Raw Data'!A28</f>
        <v>44013</v>
      </c>
      <c r="B28" s="2">
        <f>'Raw Data'!B28</f>
        <v>19299.580000000002</v>
      </c>
      <c r="C28" s="2">
        <f>'Raw Data'!C28</f>
        <v>19185.43</v>
      </c>
      <c r="D28" s="2">
        <f>'Raw Data'!D28</f>
        <v>1049.0899999999999</v>
      </c>
      <c r="G28" s="2">
        <f>'Raw Data'!E28</f>
        <v>800</v>
      </c>
      <c r="H28" s="9">
        <f t="shared" si="0"/>
        <v>40334.1</v>
      </c>
      <c r="I28" s="9">
        <f t="shared" si="1"/>
        <v>180.06999999999971</v>
      </c>
      <c r="J28" s="10">
        <f t="shared" si="2"/>
        <v>462.29916666666639</v>
      </c>
    </row>
    <row r="29" spans="1:10" ht="18" customHeight="1" x14ac:dyDescent="0.15">
      <c r="A29" s="5">
        <f>'Raw Data'!A29</f>
        <v>44044</v>
      </c>
      <c r="B29" s="2">
        <f>'Raw Data'!B29</f>
        <v>25763</v>
      </c>
      <c r="C29" s="2">
        <f>'Raw Data'!C29</f>
        <v>19235.37</v>
      </c>
      <c r="D29" s="2">
        <f>'Raw Data'!D29</f>
        <v>1659.48</v>
      </c>
      <c r="G29" s="2">
        <f>'Raw Data'!E29</f>
        <v>800</v>
      </c>
      <c r="H29" s="9">
        <f t="shared" si="0"/>
        <v>47457.85</v>
      </c>
      <c r="I29" s="10">
        <f t="shared" si="1"/>
        <v>7123.75</v>
      </c>
      <c r="J29" s="10">
        <f t="shared" si="2"/>
        <v>1024.0641666666663</v>
      </c>
    </row>
    <row r="30" spans="1:10" ht="18" customHeight="1" x14ac:dyDescent="0.15">
      <c r="A30" s="5">
        <f>'Raw Data'!A30</f>
        <v>44075</v>
      </c>
      <c r="B30" s="2">
        <f>'Raw Data'!B30</f>
        <v>27008.75</v>
      </c>
      <c r="C30" s="2">
        <f>'Raw Data'!C30</f>
        <v>20030.509999999998</v>
      </c>
      <c r="D30" s="2">
        <f>'Raw Data'!D30</f>
        <v>2022.95</v>
      </c>
      <c r="G30" s="2">
        <f>'Raw Data'!E30</f>
        <v>800</v>
      </c>
      <c r="H30" s="9">
        <f t="shared" si="0"/>
        <v>49862.209999999992</v>
      </c>
      <c r="I30" s="9">
        <f t="shared" si="1"/>
        <v>2404.3599999999933</v>
      </c>
      <c r="J30" s="10">
        <f t="shared" si="2"/>
        <v>1011.3774999999993</v>
      </c>
    </row>
    <row r="31" spans="1:10" ht="18" customHeight="1" x14ac:dyDescent="0.15">
      <c r="A31" s="5">
        <f>'Raw Data'!A31</f>
        <v>44105</v>
      </c>
      <c r="B31" s="2">
        <f>'Raw Data'!B31</f>
        <v>28396.1</v>
      </c>
      <c r="C31" s="2">
        <f>'Raw Data'!C31</f>
        <v>19857.55</v>
      </c>
      <c r="D31" s="2">
        <f>'Raw Data'!D31</f>
        <v>1617.18</v>
      </c>
      <c r="G31" s="2">
        <f>'Raw Data'!E31</f>
        <v>800</v>
      </c>
      <c r="H31" s="9">
        <f t="shared" si="0"/>
        <v>50670.829999999994</v>
      </c>
      <c r="I31" s="10">
        <f t="shared" si="1"/>
        <v>808.62000000000262</v>
      </c>
      <c r="J31" s="10">
        <f t="shared" si="2"/>
        <v>728.07833333333292</v>
      </c>
    </row>
    <row r="32" spans="1:10" ht="18" customHeight="1" x14ac:dyDescent="0.15">
      <c r="A32" s="5">
        <f>'Raw Data'!A32</f>
        <v>44136</v>
      </c>
      <c r="B32" s="2">
        <f>'Raw Data'!B32</f>
        <v>29180.44</v>
      </c>
      <c r="C32" s="2">
        <f>'Raw Data'!C32</f>
        <v>19582.97</v>
      </c>
      <c r="D32" s="2">
        <f>'Raw Data'!D32</f>
        <v>1730.09</v>
      </c>
      <c r="G32" s="2">
        <f>'Raw Data'!E32</f>
        <v>800</v>
      </c>
      <c r="H32" s="9">
        <f t="shared" si="0"/>
        <v>51293.5</v>
      </c>
      <c r="I32" s="9">
        <f t="shared" si="1"/>
        <v>622.67000000000553</v>
      </c>
      <c r="J32" s="10">
        <f t="shared" si="2"/>
        <v>875.17333333333283</v>
      </c>
    </row>
    <row r="33" spans="1:10" ht="18" customHeight="1" x14ac:dyDescent="0.15">
      <c r="A33" s="5">
        <f>'Raw Data'!A33</f>
        <v>44166</v>
      </c>
      <c r="B33" s="2">
        <f>'Raw Data'!B33</f>
        <v>30722.53</v>
      </c>
      <c r="C33" s="2">
        <f>'Raw Data'!C33</f>
        <v>21986.26</v>
      </c>
      <c r="D33" s="2">
        <f>'Raw Data'!D33</f>
        <v>2662.39</v>
      </c>
      <c r="G33" s="2">
        <f>'Raw Data'!E33</f>
        <v>800</v>
      </c>
      <c r="H33" s="9">
        <f t="shared" si="0"/>
        <v>56171.179999999993</v>
      </c>
      <c r="I33" s="10">
        <f t="shared" si="1"/>
        <v>4877.679999999993</v>
      </c>
      <c r="J33" s="10">
        <f t="shared" si="2"/>
        <v>1394.0024999999998</v>
      </c>
    </row>
    <row r="34" spans="1:10" ht="18" customHeight="1" x14ac:dyDescent="0.15">
      <c r="A34" s="5">
        <f>'Raw Data'!A34</f>
        <v>44197</v>
      </c>
      <c r="B34" s="2">
        <f>'Raw Data'!B34</f>
        <v>33341</v>
      </c>
      <c r="C34" s="2">
        <f>'Raw Data'!C34</f>
        <v>24290.68</v>
      </c>
      <c r="D34" s="2">
        <f>'Raw Data'!D34</f>
        <v>4189.79</v>
      </c>
      <c r="G34" s="2">
        <f>'Raw Data'!E34</f>
        <v>800</v>
      </c>
      <c r="H34" s="9">
        <f t="shared" ref="H34:H60" si="3">IF(SUM(B34:G34)=0, "-", SUM(B34:G34))</f>
        <v>62621.47</v>
      </c>
      <c r="I34" s="10">
        <f t="shared" ref="I34:I60" si="4">IF(H34="-", "-", H34-H33)</f>
        <v>6450.2900000000081</v>
      </c>
      <c r="J34" s="10">
        <f t="shared" si="2"/>
        <v>1656.8983333333338</v>
      </c>
    </row>
    <row r="35" spans="1:10" ht="18" customHeight="1" x14ac:dyDescent="0.15">
      <c r="A35" s="5">
        <f>'Raw Data'!A35</f>
        <v>44228</v>
      </c>
      <c r="B35" s="2">
        <f>'Raw Data'!B35</f>
        <v>33489.910000000003</v>
      </c>
      <c r="C35" s="2">
        <f>'Raw Data'!C35</f>
        <v>25838.639999999999</v>
      </c>
      <c r="D35" s="2">
        <f>'Raw Data'!D35</f>
        <v>6618.56</v>
      </c>
      <c r="G35" s="2">
        <f>'Raw Data'!E35</f>
        <v>800</v>
      </c>
      <c r="H35" s="10">
        <f t="shared" si="3"/>
        <v>66747.11</v>
      </c>
      <c r="I35" s="10">
        <f t="shared" si="4"/>
        <v>4125.6399999999994</v>
      </c>
      <c r="J35" s="10">
        <f t="shared" si="2"/>
        <v>2056.8391666666666</v>
      </c>
    </row>
    <row r="36" spans="1:10" ht="18" customHeight="1" x14ac:dyDescent="0.15">
      <c r="A36" s="5">
        <f>'Raw Data'!A36</f>
        <v>44256</v>
      </c>
      <c r="B36" s="2">
        <f>'Raw Data'!B36</f>
        <v>33619.050000000003</v>
      </c>
      <c r="C36" s="2">
        <f>'Raw Data'!C36</f>
        <v>27125.83</v>
      </c>
      <c r="D36" s="2">
        <f>'Raw Data'!D36</f>
        <v>7768.4</v>
      </c>
      <c r="G36" s="2">
        <f>'Raw Data'!E36</f>
        <v>800</v>
      </c>
      <c r="H36" s="9">
        <f t="shared" si="3"/>
        <v>69313.279999999999</v>
      </c>
      <c r="I36" s="10">
        <f t="shared" si="4"/>
        <v>2566.1699999999983</v>
      </c>
      <c r="J36" s="10">
        <f t="shared" si="2"/>
        <v>2586.540833333333</v>
      </c>
    </row>
    <row r="37" spans="1:10" ht="18" customHeight="1" x14ac:dyDescent="0.15">
      <c r="A37" s="5">
        <f>'Raw Data'!A37</f>
        <v>44287</v>
      </c>
      <c r="B37" s="2">
        <f>'Raw Data'!B37</f>
        <v>35580.629999999997</v>
      </c>
      <c r="C37" s="2">
        <f>'Raw Data'!C37</f>
        <v>28640.63</v>
      </c>
      <c r="D37" s="2">
        <f>'Raw Data'!D37</f>
        <v>7951.38</v>
      </c>
      <c r="G37" s="2">
        <f>'Raw Data'!E37</f>
        <v>0</v>
      </c>
      <c r="H37" s="10">
        <f t="shared" si="3"/>
        <v>72172.639999999999</v>
      </c>
      <c r="I37" s="10">
        <f t="shared" si="4"/>
        <v>2859.3600000000006</v>
      </c>
      <c r="J37" s="10">
        <f t="shared" si="2"/>
        <v>3183.3433333333328</v>
      </c>
    </row>
    <row r="38" spans="1:10" ht="18" customHeight="1" x14ac:dyDescent="0.15">
      <c r="A38" s="5">
        <f>'Raw Data'!A38</f>
        <v>44317</v>
      </c>
      <c r="B38" s="2">
        <f>'Raw Data'!B38</f>
        <v>35393.24</v>
      </c>
      <c r="C38" s="2">
        <f>'Raw Data'!C38</f>
        <v>31297.42</v>
      </c>
      <c r="D38" s="2">
        <f>'Raw Data'!D38</f>
        <v>8054.46</v>
      </c>
      <c r="G38" s="2">
        <f>'Raw Data'!E38</f>
        <v>0</v>
      </c>
      <c r="H38" s="9">
        <f t="shared" si="3"/>
        <v>74745.12000000001</v>
      </c>
      <c r="I38" s="10">
        <f t="shared" si="4"/>
        <v>2572.4800000000105</v>
      </c>
      <c r="J38" s="10">
        <f t="shared" si="2"/>
        <v>3067.1466666666674</v>
      </c>
    </row>
    <row r="39" spans="1:10" ht="18" customHeight="1" x14ac:dyDescent="0.15">
      <c r="A39" s="5">
        <f>'Raw Data'!A39</f>
        <v>44348</v>
      </c>
      <c r="B39" s="2">
        <f>'Raw Data'!B39</f>
        <v>36400.32</v>
      </c>
      <c r="C39" s="2">
        <f>'Raw Data'!C39</f>
        <v>31333.49</v>
      </c>
      <c r="D39" s="2">
        <f>'Raw Data'!D39</f>
        <v>7828.05</v>
      </c>
      <c r="G39" s="2">
        <f>'Raw Data'!E39</f>
        <v>300</v>
      </c>
      <c r="H39" s="10">
        <f t="shared" si="3"/>
        <v>75861.86</v>
      </c>
      <c r="I39" s="10">
        <f t="shared" si="4"/>
        <v>1116.7399999999907</v>
      </c>
      <c r="J39" s="10">
        <f t="shared" si="2"/>
        <v>2975.6525000000001</v>
      </c>
    </row>
    <row r="40" spans="1:10" ht="18" customHeight="1" x14ac:dyDescent="0.15">
      <c r="A40" s="5">
        <f>'Raw Data'!A40</f>
        <v>44378</v>
      </c>
      <c r="B40" s="2">
        <f>'Raw Data'!B40</f>
        <v>36650.94</v>
      </c>
      <c r="C40" s="2">
        <f>'Raw Data'!C40</f>
        <v>33619.72</v>
      </c>
      <c r="D40" s="2">
        <f>'Raw Data'!D40</f>
        <v>7822.14</v>
      </c>
      <c r="G40" s="2">
        <f>'Raw Data'!E40</f>
        <v>300</v>
      </c>
      <c r="H40" s="10">
        <f t="shared" si="3"/>
        <v>78392.800000000003</v>
      </c>
      <c r="I40" s="10">
        <f t="shared" si="4"/>
        <v>2530.9400000000023</v>
      </c>
      <c r="J40" s="10">
        <f t="shared" si="2"/>
        <v>3171.5583333333338</v>
      </c>
    </row>
    <row r="41" spans="1:10" ht="18" customHeight="1" x14ac:dyDescent="0.15">
      <c r="A41" s="5">
        <f>'Raw Data'!A41</f>
        <v>44409</v>
      </c>
      <c r="B41" s="2">
        <f>'Raw Data'!B41</f>
        <v>36662.85</v>
      </c>
      <c r="C41" s="2">
        <f>'Raw Data'!C41</f>
        <v>35460.699999999997</v>
      </c>
      <c r="D41" s="2">
        <f>'Raw Data'!D41</f>
        <v>9142.64</v>
      </c>
      <c r="G41" s="2">
        <f>'Raw Data'!E41</f>
        <v>300</v>
      </c>
      <c r="H41" s="10">
        <f t="shared" si="3"/>
        <v>81566.189999999988</v>
      </c>
      <c r="I41" s="10">
        <f t="shared" si="4"/>
        <v>3173.3899999999849</v>
      </c>
      <c r="J41" s="10">
        <f t="shared" si="2"/>
        <v>2842.3616666666658</v>
      </c>
    </row>
    <row r="42" spans="1:10" ht="18" customHeight="1" x14ac:dyDescent="0.15">
      <c r="A42" s="5">
        <f>'Raw Data'!A42</f>
        <v>44440</v>
      </c>
      <c r="B42" s="2">
        <f>'Raw Data'!B42</f>
        <v>35386.160000000003</v>
      </c>
      <c r="C42" s="2">
        <f>'Raw Data'!C42</f>
        <v>37363.68</v>
      </c>
      <c r="D42" s="2">
        <f>'Raw Data'!D42</f>
        <v>9802.58</v>
      </c>
      <c r="G42" s="2">
        <f>'Raw Data'!E42</f>
        <v>300</v>
      </c>
      <c r="H42" s="11">
        <f t="shared" si="3"/>
        <v>82852.42</v>
      </c>
      <c r="I42" s="12">
        <f t="shared" si="4"/>
        <v>1286.2300000000105</v>
      </c>
      <c r="J42" s="12">
        <f t="shared" si="2"/>
        <v>2749.1841666666674</v>
      </c>
    </row>
    <row r="43" spans="1:10" ht="18" customHeight="1" x14ac:dyDescent="0.15">
      <c r="A43" s="5">
        <f>'Raw Data'!A43</f>
        <v>44470</v>
      </c>
      <c r="B43" s="2">
        <f>'Raw Data'!B43</f>
        <v>33341.800000000003</v>
      </c>
      <c r="C43" s="2">
        <f>'Raw Data'!C43</f>
        <v>38977.43</v>
      </c>
      <c r="D43" s="2">
        <f>'Raw Data'!D43</f>
        <v>9373.07</v>
      </c>
      <c r="G43" s="2">
        <f>'Raw Data'!E43</f>
        <v>300</v>
      </c>
      <c r="H43" s="12">
        <f t="shared" si="3"/>
        <v>81992.300000000017</v>
      </c>
      <c r="I43" s="12">
        <f t="shared" si="4"/>
        <v>-860.11999999998079</v>
      </c>
      <c r="J43" s="12">
        <f t="shared" si="2"/>
        <v>2610.1225000000018</v>
      </c>
    </row>
    <row r="44" spans="1:10" ht="18" customHeight="1" x14ac:dyDescent="0.15">
      <c r="A44" s="5">
        <f>'Raw Data'!A44</f>
        <v>44507</v>
      </c>
      <c r="B44" s="2">
        <f>'Raw Data'!B44</f>
        <v>31235.23</v>
      </c>
      <c r="C44" s="2">
        <f>'Raw Data'!C44</f>
        <v>43751.77</v>
      </c>
      <c r="D44" s="2">
        <f>'Raw Data'!D44</f>
        <v>10588.52</v>
      </c>
      <c r="G44" s="2">
        <f>'Raw Data'!E44</f>
        <v>300</v>
      </c>
      <c r="H44" s="12">
        <f t="shared" si="3"/>
        <v>85875.520000000004</v>
      </c>
      <c r="I44" s="12">
        <f t="shared" si="4"/>
        <v>3883.2199999999866</v>
      </c>
      <c r="J44" s="12">
        <f t="shared" si="2"/>
        <v>2881.8350000000005</v>
      </c>
    </row>
    <row r="45" spans="1:10" ht="18" customHeight="1" x14ac:dyDescent="0.15">
      <c r="A45" s="5">
        <f>'Raw Data'!A45</f>
        <v>44532</v>
      </c>
      <c r="B45" s="2">
        <f>'Raw Data'!B45</f>
        <v>30031.4</v>
      </c>
      <c r="C45" s="2">
        <f>'Raw Data'!C45</f>
        <v>44193.46</v>
      </c>
      <c r="D45" s="2">
        <f>'Raw Data'!D45</f>
        <v>9751.3799999999992</v>
      </c>
      <c r="G45" s="2">
        <f>'Raw Data'!E45</f>
        <v>300</v>
      </c>
      <c r="H45" s="12">
        <f t="shared" si="3"/>
        <v>84276.24</v>
      </c>
      <c r="I45" s="12">
        <f t="shared" si="4"/>
        <v>-1599.2799999999988</v>
      </c>
      <c r="J45" s="12">
        <f t="shared" si="2"/>
        <v>2342.0883333333345</v>
      </c>
    </row>
    <row r="46" spans="1:10" ht="18" customHeight="1" x14ac:dyDescent="0.15">
      <c r="A46" s="5">
        <f>'Raw Data'!A46</f>
        <v>44563</v>
      </c>
      <c r="B46" s="2">
        <f>'Raw Data'!B46</f>
        <v>34379.53</v>
      </c>
      <c r="C46" s="2">
        <f>'Raw Data'!C46</f>
        <v>45783.89</v>
      </c>
      <c r="D46" s="2">
        <f>'Raw Data'!D46</f>
        <v>10794.65</v>
      </c>
      <c r="G46" s="2">
        <f>'Raw Data'!E46</f>
        <v>300</v>
      </c>
      <c r="H46" s="12">
        <f t="shared" si="3"/>
        <v>91258.069999999992</v>
      </c>
      <c r="I46" s="12">
        <f t="shared" si="4"/>
        <v>6981.8299999999872</v>
      </c>
      <c r="J46" s="12">
        <f t="shared" ref="J46:J60" si="5">IF(H46="-", "-", AVERAGE(I35:I46))</f>
        <v>2386.3833333333328</v>
      </c>
    </row>
    <row r="47" spans="1:10" ht="18" customHeight="1" x14ac:dyDescent="0.15">
      <c r="A47" s="5">
        <f>'Raw Data'!A47</f>
        <v>44593</v>
      </c>
      <c r="B47" s="2">
        <f>'Raw Data'!B47</f>
        <v>35077.089999999997</v>
      </c>
      <c r="C47" s="2">
        <f>'Raw Data'!C47</f>
        <v>44804.06</v>
      </c>
      <c r="D47" s="2">
        <f>'Raw Data'!D47</f>
        <v>10008.06</v>
      </c>
      <c r="G47" s="2">
        <f>'Raw Data'!E47</f>
        <v>300</v>
      </c>
      <c r="H47" s="12">
        <f t="shared" si="3"/>
        <v>90189.209999999992</v>
      </c>
      <c r="I47" s="12">
        <f t="shared" si="4"/>
        <v>-1068.8600000000006</v>
      </c>
      <c r="J47" s="12">
        <f t="shared" si="5"/>
        <v>1953.5083333333325</v>
      </c>
    </row>
    <row r="48" spans="1:10" ht="18" customHeight="1" x14ac:dyDescent="0.15">
      <c r="A48" s="5">
        <f>'Raw Data'!A48</f>
        <v>44621</v>
      </c>
      <c r="B48" s="2">
        <f>'Raw Data'!B48</f>
        <v>33953.47</v>
      </c>
      <c r="C48" s="2">
        <f>'Raw Data'!C48</f>
        <v>45747.39</v>
      </c>
      <c r="D48" s="2">
        <f>'Raw Data'!D48</f>
        <v>9963.23</v>
      </c>
      <c r="G48" s="2">
        <f>'Raw Data'!E48</f>
        <v>300</v>
      </c>
      <c r="H48" s="12">
        <f t="shared" si="3"/>
        <v>89964.09</v>
      </c>
      <c r="I48" s="12">
        <f t="shared" si="4"/>
        <v>-225.11999999999534</v>
      </c>
      <c r="J48" s="12">
        <f t="shared" si="5"/>
        <v>1720.9008333333331</v>
      </c>
    </row>
    <row r="49" spans="1:10" ht="18" customHeight="1" x14ac:dyDescent="0.15">
      <c r="A49" s="5">
        <f>'Raw Data'!A49</f>
        <v>44652</v>
      </c>
      <c r="B49" s="2">
        <f>'Raw Data'!B49</f>
        <v>33980</v>
      </c>
      <c r="C49" s="2">
        <f>'Raw Data'!C49</f>
        <v>49116.72</v>
      </c>
      <c r="D49" s="2">
        <f>'Raw Data'!D49</f>
        <v>10959.88</v>
      </c>
      <c r="G49" s="2">
        <f>'Raw Data'!E49</f>
        <v>300</v>
      </c>
      <c r="H49" s="12">
        <f t="shared" si="3"/>
        <v>94356.6</v>
      </c>
      <c r="I49" s="12">
        <f t="shared" si="4"/>
        <v>4392.5100000000093</v>
      </c>
      <c r="J49" s="12">
        <f t="shared" si="5"/>
        <v>1848.6633333333339</v>
      </c>
    </row>
    <row r="50" spans="1:10" ht="18" customHeight="1" x14ac:dyDescent="0.15">
      <c r="A50" s="5">
        <f>'Raw Data'!A50</f>
        <v>44683</v>
      </c>
      <c r="B50" s="2">
        <f>'Raw Data'!B50</f>
        <v>34089.14</v>
      </c>
      <c r="C50" s="2">
        <f>'Raw Data'!C50</f>
        <v>48048.99</v>
      </c>
      <c r="D50" s="2">
        <f>'Raw Data'!D50</f>
        <v>10685.19</v>
      </c>
      <c r="G50" s="2">
        <f>'Raw Data'!E50</f>
        <v>300</v>
      </c>
      <c r="H50" s="12">
        <f t="shared" si="3"/>
        <v>93123.32</v>
      </c>
      <c r="I50" s="12">
        <f t="shared" si="4"/>
        <v>-1233.2799999999988</v>
      </c>
      <c r="J50" s="12">
        <f t="shared" si="5"/>
        <v>1531.5166666666664</v>
      </c>
    </row>
    <row r="51" spans="1:10" ht="18" customHeight="1" x14ac:dyDescent="0.15">
      <c r="A51" s="5">
        <f>'Raw Data'!A51</f>
        <v>44713</v>
      </c>
      <c r="B51" s="2">
        <f>'Raw Data'!B51</f>
        <v>34122.559999999998</v>
      </c>
      <c r="C51" s="2">
        <f>'Raw Data'!C51</f>
        <v>48445.73</v>
      </c>
      <c r="D51" s="2">
        <f>'Raw Data'!D51</f>
        <v>9846.25</v>
      </c>
      <c r="G51" s="2">
        <f>'Raw Data'!E51</f>
        <v>300</v>
      </c>
      <c r="H51" s="12">
        <f t="shared" si="3"/>
        <v>92714.540000000008</v>
      </c>
      <c r="I51" s="12">
        <f t="shared" si="4"/>
        <v>-408.77999999999884</v>
      </c>
      <c r="J51" s="12">
        <f t="shared" si="5"/>
        <v>1404.3900000000006</v>
      </c>
    </row>
    <row r="52" spans="1:10" ht="18" customHeight="1" x14ac:dyDescent="0.15">
      <c r="A52" s="5">
        <f>'Raw Data'!A52</f>
        <v>44746</v>
      </c>
      <c r="B52" s="2">
        <f>'Raw Data'!B52</f>
        <v>32814.61</v>
      </c>
      <c r="C52" s="2">
        <f>'Raw Data'!C52</f>
        <v>48276.54</v>
      </c>
      <c r="D52" s="2">
        <f>'Raw Data'!D52</f>
        <v>9275.18</v>
      </c>
      <c r="G52" s="2">
        <f>'Raw Data'!E52</f>
        <v>300</v>
      </c>
      <c r="H52" s="12">
        <f t="shared" si="3"/>
        <v>90666.329999999987</v>
      </c>
      <c r="I52" s="12">
        <f t="shared" si="4"/>
        <v>-2048.210000000021</v>
      </c>
      <c r="J52" s="12">
        <f t="shared" si="5"/>
        <v>1022.7941666666653</v>
      </c>
    </row>
    <row r="53" spans="1:10" ht="18" customHeight="1" x14ac:dyDescent="0.15">
      <c r="A53" s="5">
        <f>'Raw Data'!A53</f>
        <v>44774</v>
      </c>
      <c r="B53" s="2">
        <f>'Raw Data'!B53</f>
        <v>33184.639999999999</v>
      </c>
      <c r="C53" s="2">
        <f>'Raw Data'!C53</f>
        <v>53560.62</v>
      </c>
      <c r="D53" s="2">
        <f>'Raw Data'!D53</f>
        <v>11530.5</v>
      </c>
      <c r="G53" s="2">
        <f>'Raw Data'!E53</f>
        <v>300</v>
      </c>
      <c r="H53" s="12">
        <f t="shared" si="3"/>
        <v>98575.760000000009</v>
      </c>
      <c r="I53" s="12">
        <f t="shared" si="4"/>
        <v>7909.4300000000221</v>
      </c>
      <c r="J53" s="12">
        <f t="shared" si="5"/>
        <v>1417.4641666666685</v>
      </c>
    </row>
    <row r="54" spans="1:10" ht="18" customHeight="1" x14ac:dyDescent="0.15">
      <c r="A54" s="5">
        <f>'Raw Data'!A54</f>
        <v>44805</v>
      </c>
      <c r="B54" s="2">
        <f>'Raw Data'!B54</f>
        <v>32685.94</v>
      </c>
      <c r="C54" s="2">
        <f>'Raw Data'!C54</f>
        <v>53599.31</v>
      </c>
      <c r="D54" s="2">
        <f>'Raw Data'!D54</f>
        <v>11301.64</v>
      </c>
      <c r="G54" s="2">
        <f>'Raw Data'!E54</f>
        <v>300</v>
      </c>
      <c r="H54" s="12">
        <f t="shared" si="3"/>
        <v>97886.89</v>
      </c>
      <c r="I54" s="12">
        <f t="shared" si="4"/>
        <v>-688.8700000000099</v>
      </c>
      <c r="J54" s="12">
        <f t="shared" si="5"/>
        <v>1252.8725000000002</v>
      </c>
    </row>
    <row r="55" spans="1:10" ht="18" customHeight="1" x14ac:dyDescent="0.15">
      <c r="A55" s="5">
        <f>'Raw Data'!A55</f>
        <v>44835</v>
      </c>
      <c r="B55" s="2">
        <f>'Raw Data'!B55</f>
        <v>32566.3</v>
      </c>
      <c r="C55" s="2">
        <f>'Raw Data'!C55</f>
        <v>51561.84</v>
      </c>
      <c r="D55" s="2">
        <f>'Raw Data'!D55</f>
        <v>11245.9</v>
      </c>
      <c r="G55" s="2">
        <f>'Raw Data'!E55</f>
        <v>300</v>
      </c>
      <c r="H55" s="12">
        <f t="shared" si="3"/>
        <v>95674.04</v>
      </c>
      <c r="I55" s="12">
        <f t="shared" si="4"/>
        <v>-2212.8500000000058</v>
      </c>
      <c r="J55" s="12">
        <f t="shared" si="5"/>
        <v>1140.1449999999979</v>
      </c>
    </row>
    <row r="56" spans="1:10" ht="18" customHeight="1" x14ac:dyDescent="0.15">
      <c r="A56" s="5">
        <f>'Raw Data'!A56</f>
        <v>44866</v>
      </c>
      <c r="B56" s="2">
        <f>'Raw Data'!B56</f>
        <v>32602.03</v>
      </c>
      <c r="C56" s="2">
        <f>'Raw Data'!C56</f>
        <v>55236.91</v>
      </c>
      <c r="D56" s="2">
        <f>'Raw Data'!D56</f>
        <v>11759.55</v>
      </c>
      <c r="G56" s="2">
        <f>'Raw Data'!E56</f>
        <v>300</v>
      </c>
      <c r="H56" s="12">
        <f t="shared" si="3"/>
        <v>99898.49</v>
      </c>
      <c r="I56" s="12">
        <f t="shared" si="4"/>
        <v>4224.4500000000116</v>
      </c>
      <c r="J56" s="12">
        <f t="shared" si="5"/>
        <v>1168.5808333333334</v>
      </c>
    </row>
    <row r="57" spans="1:10" ht="18" customHeight="1" x14ac:dyDescent="0.15">
      <c r="A57" s="5">
        <f>'Raw Data'!A57</f>
        <v>44896</v>
      </c>
      <c r="B57" s="2">
        <f>'Raw Data'!B57</f>
        <v>32560.7</v>
      </c>
      <c r="C57" s="2">
        <f>'Raw Data'!C57</f>
        <v>55171.62</v>
      </c>
      <c r="D57" s="2">
        <f>'Raw Data'!D57</f>
        <v>11118.58</v>
      </c>
      <c r="G57" s="2">
        <f>'Raw Data'!E57</f>
        <v>300</v>
      </c>
      <c r="H57" s="12">
        <f t="shared" si="3"/>
        <v>99150.900000000009</v>
      </c>
      <c r="I57" s="12">
        <f t="shared" si="4"/>
        <v>-747.58999999999651</v>
      </c>
      <c r="J57" s="12">
        <f t="shared" si="5"/>
        <v>1239.5550000000003</v>
      </c>
    </row>
    <row r="58" spans="1:10" ht="18" customHeight="1" x14ac:dyDescent="0.15">
      <c r="A58" s="5">
        <f>'Raw Data'!A58</f>
        <v>44927</v>
      </c>
      <c r="B58" s="2">
        <f>'Raw Data'!B58</f>
        <v>35632.82</v>
      </c>
      <c r="C58" s="2">
        <f>'Raw Data'!C58</f>
        <v>53639.77</v>
      </c>
      <c r="D58" s="2">
        <f>'Raw Data'!D58</f>
        <v>10818.72</v>
      </c>
      <c r="G58" s="2">
        <f>'Raw Data'!E58</f>
        <v>300</v>
      </c>
      <c r="H58" s="12">
        <f t="shared" si="3"/>
        <v>100391.31</v>
      </c>
      <c r="I58" s="12">
        <f t="shared" si="4"/>
        <v>1240.4099999999889</v>
      </c>
      <c r="J58" s="12">
        <f t="shared" si="5"/>
        <v>761.10333333333381</v>
      </c>
    </row>
    <row r="59" spans="1:10" ht="18" customHeight="1" x14ac:dyDescent="0.15">
      <c r="A59" s="5">
        <f>'Raw Data'!A59</f>
        <v>44958</v>
      </c>
      <c r="B59" s="2">
        <f>'Raw Data'!B59</f>
        <v>35662.29</v>
      </c>
      <c r="C59" s="2">
        <f>'Raw Data'!C59</f>
        <v>57352.88</v>
      </c>
      <c r="D59" s="2">
        <f>'Raw Data'!D59</f>
        <v>12205.44</v>
      </c>
      <c r="G59" s="2">
        <f>'Raw Data'!E59</f>
        <v>300</v>
      </c>
      <c r="H59" s="12">
        <f t="shared" si="3"/>
        <v>105520.61</v>
      </c>
      <c r="I59" s="12">
        <f t="shared" si="4"/>
        <v>5129.3000000000029</v>
      </c>
      <c r="J59" s="12">
        <f t="shared" si="5"/>
        <v>1277.6166666666675</v>
      </c>
    </row>
    <row r="60" spans="1:10" ht="18" customHeight="1" x14ac:dyDescent="0.15">
      <c r="A60" s="5">
        <f>'Raw Data'!A60</f>
        <v>44986</v>
      </c>
      <c r="B60" s="2">
        <f>'Raw Data'!B60</f>
        <v>37022.629999999997</v>
      </c>
      <c r="C60" s="2">
        <f>'Raw Data'!C60</f>
        <v>58416.19</v>
      </c>
      <c r="D60" s="2">
        <f>'Raw Data'!D60</f>
        <v>12062.52</v>
      </c>
      <c r="G60" s="2">
        <f>'Raw Data'!E60</f>
        <v>300</v>
      </c>
      <c r="H60" s="12">
        <f t="shared" si="3"/>
        <v>107801.34000000001</v>
      </c>
      <c r="I60" s="12">
        <f t="shared" si="4"/>
        <v>2280.7300000000105</v>
      </c>
      <c r="J60" s="12">
        <f t="shared" si="5"/>
        <v>1486.4375000000011</v>
      </c>
    </row>
    <row r="61" spans="1:10" ht="18" customHeight="1" x14ac:dyDescent="0.15">
      <c r="A61" s="5">
        <f>'Raw Data'!A61</f>
        <v>45017</v>
      </c>
      <c r="B61" s="2">
        <f>'Raw Data'!B61</f>
        <v>10740.43</v>
      </c>
      <c r="C61" s="2">
        <f>'Raw Data'!C61</f>
        <v>58939.75</v>
      </c>
      <c r="D61" s="2">
        <f>'Raw Data'!D61</f>
        <v>12903.8</v>
      </c>
      <c r="E61" s="2">
        <v>175000</v>
      </c>
      <c r="F61" s="2">
        <v>-155000</v>
      </c>
      <c r="G61" s="2">
        <f>'Raw Data'!E61</f>
        <v>300</v>
      </c>
      <c r="H61" s="12">
        <f t="shared" ref="H61" si="6">IF(SUM(B61:G61)=0, "-", SUM(B61:G61))</f>
        <v>102883.97999999998</v>
      </c>
      <c r="I61" s="12">
        <f t="shared" ref="I61" si="7">IF(H61="-", "-", H61-H60)</f>
        <v>-4917.3600000000297</v>
      </c>
      <c r="J61" s="12">
        <f t="shared" ref="J61" si="8">IF(H61="-", "-", AVERAGE(I50:I61))</f>
        <v>710.61499999999796</v>
      </c>
    </row>
    <row r="62" spans="1:10" ht="18" customHeight="1" x14ac:dyDescent="0.15">
      <c r="A62" s="5">
        <f>'Raw Data'!A62</f>
        <v>45049</v>
      </c>
      <c r="B62" s="2">
        <f>'Raw Data'!B62</f>
        <v>15554.44</v>
      </c>
      <c r="C62" s="2">
        <f>'Raw Data'!C62</f>
        <v>59613.96</v>
      </c>
      <c r="D62" s="2">
        <f>'Raw Data'!D62</f>
        <v>12836.66</v>
      </c>
      <c r="E62" s="2">
        <v>175000</v>
      </c>
      <c r="F62" s="2">
        <v>-155000</v>
      </c>
      <c r="G62" s="2">
        <f>'Raw Data'!E62</f>
        <v>300</v>
      </c>
      <c r="H62" s="12">
        <f t="shared" ref="H62" si="9">IF(SUM(B62:G62)=0, "-", SUM(B62:G62))</f>
        <v>108305.06</v>
      </c>
      <c r="I62" s="12">
        <f t="shared" ref="I62" si="10">IF(H62="-", "-", H62-H61)</f>
        <v>5421.0800000000163</v>
      </c>
      <c r="J62" s="12">
        <f t="shared" ref="J62" si="11">IF(H62="-", "-", AVERAGE(I51:I62))</f>
        <v>1265.1449999999993</v>
      </c>
    </row>
    <row r="63" spans="1:10" ht="18" customHeight="1" x14ac:dyDescent="0.15">
      <c r="A63" s="5">
        <f>'Raw Data'!A63</f>
        <v>45079</v>
      </c>
      <c r="B63" s="2">
        <f>'Raw Data'!B63</f>
        <v>16414.13</v>
      </c>
      <c r="C63" s="2">
        <f>'Raw Data'!C63</f>
        <v>61782.62</v>
      </c>
      <c r="D63" s="2">
        <f>'Raw Data'!D63</f>
        <v>12480.7</v>
      </c>
      <c r="E63" s="2">
        <v>175000</v>
      </c>
      <c r="F63" s="2">
        <v>-155000</v>
      </c>
      <c r="G63" s="2">
        <f>'Raw Data'!E63</f>
        <v>0</v>
      </c>
      <c r="H63" s="12">
        <f t="shared" ref="H63:H64" si="12">IF(SUM(B63:G63)=0, "-", SUM(B63:G63))</f>
        <v>110677.45000000001</v>
      </c>
      <c r="I63" s="12">
        <f t="shared" ref="I63:I64" si="13">IF(H63="-", "-", H63-H62)</f>
        <v>2372.390000000014</v>
      </c>
      <c r="J63" s="12">
        <f t="shared" ref="J63:J64" si="14">IF(H63="-", "-", AVERAGE(I52:I63))</f>
        <v>1496.909166666667</v>
      </c>
    </row>
    <row r="64" spans="1:10" ht="18" customHeight="1" x14ac:dyDescent="0.15">
      <c r="A64" s="5">
        <f>'Raw Data'!A64</f>
        <v>45111</v>
      </c>
      <c r="B64" s="2">
        <f>'Raw Data'!B64</f>
        <v>17425.8</v>
      </c>
      <c r="C64" s="2">
        <f>'Raw Data'!C64</f>
        <v>65401.279999999999</v>
      </c>
      <c r="D64" s="2">
        <f>'Raw Data'!D64</f>
        <v>13644.72</v>
      </c>
      <c r="E64" s="2">
        <v>175000</v>
      </c>
      <c r="F64" s="2">
        <v>-155000</v>
      </c>
      <c r="G64" s="2">
        <f>'Raw Data'!E64</f>
        <v>0</v>
      </c>
      <c r="H64" s="12">
        <f t="shared" si="12"/>
        <v>116471.79999999999</v>
      </c>
      <c r="I64" s="12">
        <f t="shared" si="13"/>
        <v>5794.3499999999767</v>
      </c>
      <c r="J64" s="12">
        <f t="shared" si="14"/>
        <v>2150.4558333333334</v>
      </c>
    </row>
    <row r="65" spans="1:10" ht="18" customHeight="1" x14ac:dyDescent="0.15">
      <c r="A65" s="5">
        <f>'Raw Data'!A65</f>
        <v>45141</v>
      </c>
      <c r="B65" s="2">
        <f>'Raw Data'!B65</f>
        <v>18791.73</v>
      </c>
      <c r="C65" s="2">
        <f>'Raw Data'!C65</f>
        <v>67098.100000000006</v>
      </c>
      <c r="D65" s="2">
        <f>'Raw Data'!D65</f>
        <v>13307.38</v>
      </c>
      <c r="E65" s="2">
        <v>175000</v>
      </c>
      <c r="F65" s="2">
        <v>-155000</v>
      </c>
      <c r="G65" s="2">
        <f>'Raw Data'!E65</f>
        <v>0</v>
      </c>
      <c r="H65" s="12">
        <f t="shared" ref="H65:H66" si="15">IF(SUM(B65:G65)=0, "-", SUM(B65:G65))</f>
        <v>119197.21000000002</v>
      </c>
      <c r="I65" s="12">
        <f t="shared" ref="I65:I66" si="16">IF(H65="-", "-", H65-H64)</f>
        <v>2725.4100000000326</v>
      </c>
      <c r="J65" s="12">
        <f t="shared" ref="J65:J66" si="17">IF(H65="-", "-", AVERAGE(I54:I65))</f>
        <v>1718.4541666666676</v>
      </c>
    </row>
    <row r="66" spans="1:10" ht="18" customHeight="1" x14ac:dyDescent="0.15">
      <c r="A66" s="5">
        <f>'Raw Data'!A66</f>
        <v>45171</v>
      </c>
      <c r="B66" s="2">
        <f>'Raw Data'!B66</f>
        <v>18662.22</v>
      </c>
      <c r="C66" s="2">
        <f>'Raw Data'!C66</f>
        <v>68443.44</v>
      </c>
      <c r="D66" s="2">
        <f>'Raw Data'!D66</f>
        <v>12524.72</v>
      </c>
      <c r="E66" s="2">
        <v>175000</v>
      </c>
      <c r="F66" s="2">
        <v>-155000</v>
      </c>
      <c r="G66" s="2">
        <f>'Raw Data'!E66</f>
        <v>0</v>
      </c>
      <c r="H66" s="12">
        <f t="shared" si="15"/>
        <v>119630.38</v>
      </c>
      <c r="I66" s="12">
        <f t="shared" si="16"/>
        <v>433.1699999999837</v>
      </c>
      <c r="J66" s="12">
        <f t="shared" si="17"/>
        <v>1811.9575000000004</v>
      </c>
    </row>
    <row r="67" spans="1:10" ht="18" customHeight="1" x14ac:dyDescent="0.15">
      <c r="A67" s="5">
        <f>'Raw Data'!A67</f>
        <v>45202</v>
      </c>
      <c r="B67" s="2">
        <f>'Raw Data'!B67</f>
        <v>19339.84</v>
      </c>
      <c r="C67" s="2">
        <f>'Raw Data'!C67</f>
        <v>68483.179999999993</v>
      </c>
      <c r="D67" s="2">
        <f>'Raw Data'!D67</f>
        <v>13117.39</v>
      </c>
      <c r="E67" s="2">
        <v>175000</v>
      </c>
      <c r="F67" s="2">
        <v>-155000</v>
      </c>
      <c r="G67" s="2">
        <f>'Raw Data'!E67</f>
        <v>0</v>
      </c>
      <c r="H67" s="12">
        <f t="shared" ref="H67" si="18">IF(SUM(B67:G67)=0, "-", SUM(B67:G67))</f>
        <v>120940.40999999997</v>
      </c>
      <c r="I67" s="12">
        <f t="shared" ref="I67" si="19">IF(H67="-", "-", H67-H66)</f>
        <v>1310.0299999999697</v>
      </c>
      <c r="J67" s="12">
        <f t="shared" ref="J67" si="20">IF(H67="-", "-", AVERAGE(I56:I67))</f>
        <v>2105.5308333333319</v>
      </c>
    </row>
    <row r="68" spans="1:10" ht="18" customHeight="1" x14ac:dyDescent="0.15">
      <c r="A68" s="5">
        <f>'Raw Data'!A68</f>
        <v>45233</v>
      </c>
      <c r="B68" s="2">
        <f>'Raw Data'!B68</f>
        <v>18573.8</v>
      </c>
      <c r="C68" s="2">
        <f>'Raw Data'!C68</f>
        <v>69131.03</v>
      </c>
      <c r="D68" s="2">
        <f>'Raw Data'!D68</f>
        <v>14925.8</v>
      </c>
      <c r="E68" s="2">
        <v>175000</v>
      </c>
      <c r="F68" s="2">
        <v>-155000</v>
      </c>
      <c r="G68" s="2">
        <f>'Raw Data'!E68</f>
        <v>0</v>
      </c>
      <c r="H68" s="12">
        <f t="shared" ref="H68" si="21">IF(SUM(B68:G68)=0, "-", SUM(B68:G68))</f>
        <v>122630.63</v>
      </c>
      <c r="I68" s="12">
        <f t="shared" ref="I68" si="22">IF(H68="-", "-", H68-H67)</f>
        <v>1690.2200000000303</v>
      </c>
      <c r="J68" s="12">
        <f t="shared" ref="J68" si="23">IF(H68="-", "-", AVERAGE(I57:I68))</f>
        <v>1894.345</v>
      </c>
    </row>
    <row r="69" spans="1:10" ht="18" customHeight="1" x14ac:dyDescent="0.15">
      <c r="A69" s="5">
        <f>'Raw Data'!A69</f>
        <v>45269</v>
      </c>
      <c r="B69" s="2">
        <f>'Raw Data'!B69</f>
        <v>18598.18</v>
      </c>
      <c r="C69" s="2">
        <f>'Raw Data'!C69</f>
        <v>72604.42</v>
      </c>
      <c r="D69" s="2">
        <f>'Raw Data'!D69</f>
        <v>17437</v>
      </c>
      <c r="E69" s="2">
        <v>175000</v>
      </c>
      <c r="F69" s="2">
        <v>-155000</v>
      </c>
      <c r="G69" s="2">
        <f>'Raw Data'!E69</f>
        <v>0</v>
      </c>
      <c r="H69" s="12">
        <f t="shared" ref="H69" si="24">IF(SUM(B69:G69)=0, "-", SUM(B69:G69))</f>
        <v>128639.59999999998</v>
      </c>
      <c r="I69" s="12">
        <f t="shared" ref="I69" si="25">IF(H69="-", "-", H69-H68)</f>
        <v>6008.9699999999721</v>
      </c>
      <c r="J69" s="12">
        <f t="shared" ref="J69" si="26">IF(H69="-", "-", AVERAGE(I58:I69))</f>
        <v>2457.3916666666642</v>
      </c>
    </row>
    <row r="70" spans="1:10" ht="18" customHeight="1" x14ac:dyDescent="0.15">
      <c r="A70" s="5">
        <f>'Raw Data'!A70</f>
        <v>45294</v>
      </c>
      <c r="B70" s="2">
        <f>'Raw Data'!B70</f>
        <v>14316.1</v>
      </c>
      <c r="C70" s="2">
        <f>'Raw Data'!C70</f>
        <v>74137.070000000007</v>
      </c>
      <c r="D70" s="2">
        <f>'Raw Data'!D70</f>
        <v>17727.48</v>
      </c>
      <c r="E70" s="2">
        <v>175000</v>
      </c>
      <c r="F70" s="2">
        <f>-155000+8500</f>
        <v>-146500</v>
      </c>
      <c r="G70" s="2">
        <f>'Raw Data'!E70</f>
        <v>0</v>
      </c>
      <c r="H70" s="12">
        <f t="shared" ref="H70:H71" si="27">IF(SUM(B70:G70)=0, "-", SUM(B70:G70))</f>
        <v>134680.65000000002</v>
      </c>
      <c r="I70" s="12">
        <f t="shared" ref="I70:I71" si="28">IF(H70="-", "-", H70-H69)</f>
        <v>6041.0500000000466</v>
      </c>
      <c r="J70" s="12">
        <f t="shared" ref="J70:J71" si="29">IF(H70="-", "-", AVERAGE(I59:I70))</f>
        <v>2857.445000000002</v>
      </c>
    </row>
    <row r="71" spans="1:10" ht="18" customHeight="1" x14ac:dyDescent="0.15">
      <c r="A71" s="5">
        <f>'Raw Data'!A71</f>
        <v>45324</v>
      </c>
      <c r="B71" s="2">
        <f>'Raw Data'!B71</f>
        <v>13224.63</v>
      </c>
      <c r="C71" s="2">
        <f>'Raw Data'!C71</f>
        <v>78800.98</v>
      </c>
      <c r="D71" s="2">
        <f>'Raw Data'!D71</f>
        <v>17103.310000000001</v>
      </c>
      <c r="E71" s="2">
        <v>175000</v>
      </c>
      <c r="F71" s="2">
        <f t="shared" ref="F71:F77" si="30">-155000+8500</f>
        <v>-146500</v>
      </c>
      <c r="G71" s="2">
        <f>'Raw Data'!E71</f>
        <v>0</v>
      </c>
      <c r="H71" s="12">
        <f t="shared" si="27"/>
        <v>137628.91999999998</v>
      </c>
      <c r="I71" s="12">
        <f t="shared" si="28"/>
        <v>2948.2699999999604</v>
      </c>
      <c r="J71" s="12">
        <f t="shared" si="29"/>
        <v>2675.6924999999987</v>
      </c>
    </row>
    <row r="72" spans="1:10" ht="18" customHeight="1" x14ac:dyDescent="0.15">
      <c r="A72" s="5">
        <f>'Raw Data'!A72</f>
        <v>45353</v>
      </c>
      <c r="B72" s="2">
        <f>'Raw Data'!B72</f>
        <v>12591.02</v>
      </c>
      <c r="C72" s="2">
        <f>'Raw Data'!C72</f>
        <v>83711.03</v>
      </c>
      <c r="D72" s="2">
        <f>'Raw Data'!D72</f>
        <v>22549.61</v>
      </c>
      <c r="E72" s="2">
        <v>175000</v>
      </c>
      <c r="F72" s="2">
        <f t="shared" si="30"/>
        <v>-146500</v>
      </c>
      <c r="G72" s="2">
        <f>'Raw Data'!E72</f>
        <v>0</v>
      </c>
      <c r="H72" s="12">
        <f t="shared" ref="H72:H73" si="31">IF(SUM(B72:G72)=0, "-", SUM(B72:G72))</f>
        <v>147351.66000000003</v>
      </c>
      <c r="I72" s="12">
        <f t="shared" ref="I72:I73" si="32">IF(H72="-", "-", H72-H71)</f>
        <v>9722.7400000000489</v>
      </c>
      <c r="J72" s="12">
        <f t="shared" ref="J72:J73" si="33">IF(H72="-", "-", AVERAGE(I61:I72))</f>
        <v>3295.8600000000019</v>
      </c>
    </row>
    <row r="73" spans="1:10" ht="18" customHeight="1" x14ac:dyDescent="0.15">
      <c r="A73" s="5">
        <f>'Raw Data'!A73</f>
        <v>45385</v>
      </c>
      <c r="B73" s="2">
        <f>'Raw Data'!B73</f>
        <v>14241.76</v>
      </c>
      <c r="C73" s="2">
        <f>'Raw Data'!C73</f>
        <v>87179.59</v>
      </c>
      <c r="D73" s="2">
        <f>'Raw Data'!D73</f>
        <v>23486.85</v>
      </c>
      <c r="E73" s="2">
        <v>175000</v>
      </c>
      <c r="F73" s="2">
        <f t="shared" si="30"/>
        <v>-146500</v>
      </c>
      <c r="G73" s="2">
        <f>'Raw Data'!E77</f>
        <v>0</v>
      </c>
      <c r="H73" s="12">
        <f t="shared" si="31"/>
        <v>153408.19999999995</v>
      </c>
      <c r="I73" s="12">
        <f t="shared" si="32"/>
        <v>6056.5399999999208</v>
      </c>
      <c r="J73" s="12">
        <f t="shared" si="33"/>
        <v>4210.3516666666646</v>
      </c>
    </row>
    <row r="74" spans="1:10" ht="18" customHeight="1" x14ac:dyDescent="0.15">
      <c r="A74" s="5">
        <f>'Raw Data'!A74</f>
        <v>45416</v>
      </c>
      <c r="B74" s="2">
        <f>'Raw Data'!B74</f>
        <v>14245.14</v>
      </c>
      <c r="C74" s="2">
        <f>'Raw Data'!C74</f>
        <v>87323.9</v>
      </c>
      <c r="D74" s="2">
        <f>'Raw Data'!D74</f>
        <v>22158.26</v>
      </c>
      <c r="E74" s="2">
        <v>175000</v>
      </c>
      <c r="F74" s="2">
        <f t="shared" si="30"/>
        <v>-146500</v>
      </c>
      <c r="G74" s="2">
        <f>'Raw Data'!E78</f>
        <v>0</v>
      </c>
      <c r="H74" s="12">
        <f t="shared" ref="H74:H75" si="34">IF(SUM(B74:G74)=0, "-", SUM(B74:G74))</f>
        <v>152227.29999999999</v>
      </c>
      <c r="I74" s="12">
        <f t="shared" ref="I74:I75" si="35">IF(H74="-", "-", H74-H73)</f>
        <v>-1180.8999999999651</v>
      </c>
      <c r="J74" s="12">
        <f t="shared" ref="J74:J75" si="36">IF(H74="-", "-", AVERAGE(I63:I74))</f>
        <v>3660.186666666666</v>
      </c>
    </row>
    <row r="75" spans="1:10" ht="18" customHeight="1" x14ac:dyDescent="0.15">
      <c r="A75" s="5">
        <f>'Raw Data'!A75</f>
        <v>45444</v>
      </c>
      <c r="B75" s="2">
        <f>'Raw Data'!B75</f>
        <v>15783.57</v>
      </c>
      <c r="C75" s="2">
        <f>'Raw Data'!C75</f>
        <v>89151.48</v>
      </c>
      <c r="D75" s="2">
        <f>'Raw Data'!D75</f>
        <v>23782.86</v>
      </c>
      <c r="E75" s="2">
        <v>175000</v>
      </c>
      <c r="F75" s="2">
        <f t="shared" si="30"/>
        <v>-146500</v>
      </c>
      <c r="G75" s="2">
        <f>'Raw Data'!E79</f>
        <v>0</v>
      </c>
      <c r="H75" s="12">
        <f t="shared" si="34"/>
        <v>157217.90999999997</v>
      </c>
      <c r="I75" s="12">
        <f t="shared" si="35"/>
        <v>4990.609999999986</v>
      </c>
      <c r="J75" s="12">
        <f t="shared" si="36"/>
        <v>3878.3716666666637</v>
      </c>
    </row>
    <row r="76" spans="1:10" ht="18" customHeight="1" x14ac:dyDescent="0.15">
      <c r="A76" s="5">
        <f>'Raw Data'!A76</f>
        <v>45476</v>
      </c>
      <c r="B76" s="2">
        <f>'Raw Data'!B76</f>
        <v>15718.35</v>
      </c>
      <c r="C76" s="2">
        <f>'Raw Data'!C76</f>
        <v>95159.42</v>
      </c>
      <c r="D76" s="2">
        <f>'Raw Data'!D76</f>
        <v>20918.77</v>
      </c>
      <c r="E76" s="2">
        <v>175000</v>
      </c>
      <c r="F76" s="2">
        <f t="shared" si="30"/>
        <v>-146500</v>
      </c>
      <c r="G76" s="2">
        <f>'Raw Data'!E80</f>
        <v>0</v>
      </c>
      <c r="H76" s="12">
        <f t="shared" ref="H76:H80" si="37">IF(SUM(B76:G76)=0, "-", SUM(B76:G76))</f>
        <v>160296.54000000004</v>
      </c>
      <c r="I76" s="12">
        <f t="shared" ref="I76:I80" si="38">IF(H76="-", "-", H76-H75)</f>
        <v>3078.6300000000629</v>
      </c>
      <c r="J76" s="12">
        <f t="shared" ref="J76:J80" si="39">IF(H76="-", "-", AVERAGE(I65:I76))</f>
        <v>3652.0616666666706</v>
      </c>
    </row>
    <row r="77" spans="1:10" ht="18" customHeight="1" x14ac:dyDescent="0.15">
      <c r="A77" s="5">
        <f>'Raw Data'!A77</f>
        <v>45505</v>
      </c>
      <c r="B77" s="2">
        <f>'Raw Data'!B77</f>
        <v>16555.97</v>
      </c>
      <c r="C77" s="2">
        <f>'Raw Data'!C77</f>
        <v>98330.91</v>
      </c>
      <c r="D77" s="2">
        <f>'Raw Data'!D77</f>
        <v>22283.79</v>
      </c>
      <c r="E77" s="2">
        <v>175000</v>
      </c>
      <c r="F77" s="2">
        <f t="shared" si="30"/>
        <v>-146500</v>
      </c>
      <c r="G77" s="2">
        <f>'Raw Data'!E81</f>
        <v>0</v>
      </c>
      <c r="H77" s="12">
        <f t="shared" si="37"/>
        <v>165670.67000000004</v>
      </c>
      <c r="I77" s="12">
        <f t="shared" si="38"/>
        <v>5374.1300000000047</v>
      </c>
      <c r="J77" s="12">
        <f t="shared" si="39"/>
        <v>3872.7883333333352</v>
      </c>
    </row>
    <row r="78" spans="1:10" ht="18" hidden="1" customHeight="1" x14ac:dyDescent="0.15">
      <c r="A78" s="5">
        <f>'Raw Data'!A78</f>
        <v>0</v>
      </c>
      <c r="B78" s="2">
        <f>'Raw Data'!B78</f>
        <v>0</v>
      </c>
      <c r="C78" s="2">
        <f>'Raw Data'!C78</f>
        <v>0</v>
      </c>
      <c r="D78" s="2">
        <f>'Raw Data'!D78</f>
        <v>0</v>
      </c>
      <c r="G78" s="2">
        <f>'Raw Data'!E82</f>
        <v>0</v>
      </c>
      <c r="H78" s="12" t="str">
        <f t="shared" si="37"/>
        <v>-</v>
      </c>
      <c r="I78" s="12" t="str">
        <f t="shared" si="38"/>
        <v>-</v>
      </c>
      <c r="J78" s="12" t="str">
        <f t="shared" si="39"/>
        <v>-</v>
      </c>
    </row>
    <row r="79" spans="1:10" ht="18" hidden="1" customHeight="1" x14ac:dyDescent="0.15">
      <c r="A79" s="5">
        <f>'Raw Data'!A79</f>
        <v>0</v>
      </c>
      <c r="B79" s="2">
        <f>'Raw Data'!B79</f>
        <v>0</v>
      </c>
      <c r="C79" s="2">
        <f>'Raw Data'!C79</f>
        <v>0</v>
      </c>
      <c r="D79" s="2">
        <f>'Raw Data'!D79</f>
        <v>0</v>
      </c>
      <c r="G79" s="2">
        <f>'Raw Data'!E83</f>
        <v>0</v>
      </c>
      <c r="H79" s="12" t="str">
        <f t="shared" si="37"/>
        <v>-</v>
      </c>
      <c r="I79" s="12" t="str">
        <f t="shared" si="38"/>
        <v>-</v>
      </c>
      <c r="J79" s="12" t="str">
        <f t="shared" si="39"/>
        <v>-</v>
      </c>
    </row>
    <row r="80" spans="1:10" ht="18" hidden="1" customHeight="1" x14ac:dyDescent="0.15">
      <c r="A80" s="5">
        <f>'Raw Data'!A80</f>
        <v>0</v>
      </c>
      <c r="B80" s="2">
        <f>'Raw Data'!B80</f>
        <v>0</v>
      </c>
      <c r="C80" s="2">
        <f>'Raw Data'!C80</f>
        <v>0</v>
      </c>
      <c r="D80" s="2">
        <f>'Raw Data'!D80</f>
        <v>0</v>
      </c>
      <c r="G80" s="2">
        <f>'Raw Data'!E84</f>
        <v>0</v>
      </c>
      <c r="H80" s="12" t="str">
        <f t="shared" si="37"/>
        <v>-</v>
      </c>
      <c r="I80" s="12" t="str">
        <f t="shared" si="38"/>
        <v>-</v>
      </c>
      <c r="J80" s="12" t="str">
        <f t="shared" si="39"/>
        <v>-</v>
      </c>
    </row>
  </sheetData>
  <dataConsolidate/>
  <phoneticPr fontId="6" type="noConversion"/>
  <conditionalFormatting sqref="E1:F1 E81:F1048576 H1:H1048576">
    <cfRule type="colorScale" priority="3">
      <colorScale>
        <cfvo type="percentile" val="0"/>
        <cfvo type="percentile" val="50"/>
        <cfvo type="percentile" val="95"/>
        <color rgb="FFFF0000"/>
        <color rgb="FFFFFF00"/>
        <color rgb="FF00B050"/>
      </colorScale>
    </cfRule>
  </conditionalFormatting>
  <conditionalFormatting sqref="F1:F80">
    <cfRule type="colorScale" priority="1">
      <colorScale>
        <cfvo type="num" val="-155000"/>
        <cfvo type="num" val="0"/>
        <color rgb="FFFF0000"/>
        <color theme="0"/>
      </colorScale>
    </cfRule>
  </conditionalFormatting>
  <conditionalFormatting sqref="I1 I3:I80">
    <cfRule type="cellIs" dxfId="5" priority="9" operator="equal">
      <formula>"-"</formula>
    </cfRule>
  </conditionalFormatting>
  <conditionalFormatting sqref="I3:I80">
    <cfRule type="cellIs" dxfId="4" priority="12" operator="lessThan">
      <formula>0</formula>
    </cfRule>
    <cfRule type="cellIs" dxfId="3" priority="13" operator="greaterThan">
      <formula>0</formula>
    </cfRule>
  </conditionalFormatting>
  <conditionalFormatting sqref="J3:J80 J1">
    <cfRule type="colorScale" priority="2">
      <colorScale>
        <cfvo type="percentile" val="0"/>
        <cfvo type="percentile" val="50"/>
        <cfvo type="percentile" val="90"/>
        <color rgb="FFFF0000"/>
        <color rgb="FFFFFF00"/>
        <color rgb="FF00B050"/>
      </colorScale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ndsWith" priority="4" operator="endsWith" id="{4A09BBE0-3A31-E746-A7C7-4D3BD1370EB3}">
            <xm:f>RIGHT(E1,LEN("-"))="-"</xm:f>
            <xm:f>"-"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E1:F1 H1:H1048576 E81:F1048576 J3:J80</xm:sqref>
        </x14:conditionalFormatting>
        <x14:conditionalFormatting xmlns:xm="http://schemas.microsoft.com/office/excel/2006/main">
          <x14:cfRule type="endsWith" priority="5" operator="endsWith" id="{7B4AE8AA-002A-1847-BBC5-EAFD1BF41400}">
            <xm:f>RIGHT(J1,LEN("-"))="-"</xm:f>
            <xm:f>"-"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49F4-9367-A145-9F3A-9A611511E5AB}">
  <dimension ref="A1"/>
  <sheetViews>
    <sheetView topLeftCell="A65" zoomScaleNormal="100" workbookViewId="0">
      <selection activeCell="Y50" sqref="Y50"/>
    </sheetView>
  </sheetViews>
  <sheetFormatPr baseColWidth="10" defaultColWidth="10.6640625" defaultRowHeight="13" x14ac:dyDescent="0.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1115-C0E9-604C-8C53-24737F27518F}">
  <dimension ref="A1:D12"/>
  <sheetViews>
    <sheetView zoomScale="125" workbookViewId="0"/>
  </sheetViews>
  <sheetFormatPr baseColWidth="10" defaultColWidth="10.83203125" defaultRowHeight="13" x14ac:dyDescent="0.15"/>
  <cols>
    <col min="1" max="1" width="10.83203125" style="13"/>
    <col min="2" max="2" width="14.1640625" style="13" customWidth="1"/>
    <col min="3" max="3" width="14.6640625" customWidth="1"/>
    <col min="4" max="4" width="13.6640625" customWidth="1"/>
    <col min="5" max="5" width="10.83203125" customWidth="1"/>
  </cols>
  <sheetData>
    <row r="1" spans="1:4" ht="27" customHeight="1" x14ac:dyDescent="0.15">
      <c r="A1" s="17" t="s">
        <v>11</v>
      </c>
      <c r="B1" s="14" t="s">
        <v>13</v>
      </c>
      <c r="C1" t="s">
        <v>0</v>
      </c>
      <c r="D1" t="s">
        <v>12</v>
      </c>
    </row>
    <row r="2" spans="1:4" x14ac:dyDescent="0.15">
      <c r="A2" s="17">
        <f>YEAR('Raw Data'!A10)-1</f>
        <v>2018</v>
      </c>
      <c r="C2" s="7">
        <f>'My Money'!H10</f>
        <v>26314.799999999999</v>
      </c>
      <c r="D2" s="7">
        <f>C2-Tabla3[[#This Row],[Total]]</f>
        <v>4980.9299999999967</v>
      </c>
    </row>
    <row r="3" spans="1:4" x14ac:dyDescent="0.15">
      <c r="A3" s="17">
        <f>A2+1</f>
        <v>2019</v>
      </c>
      <c r="B3" s="7">
        <f>FORECAST('My Money'!A22,'My Money'!H2:H9,'My Money'!A2:A9)</f>
        <v>37239.503243313637</v>
      </c>
      <c r="C3" s="7">
        <f>'My Money'!H22</f>
        <v>42738.689999999995</v>
      </c>
      <c r="D3" s="7">
        <f t="shared" ref="D3:D5" si="0">C3-C2</f>
        <v>16423.889999999996</v>
      </c>
    </row>
    <row r="4" spans="1:4" x14ac:dyDescent="0.15">
      <c r="A4" s="17">
        <f t="shared" ref="A4:A6" si="1">A3+1</f>
        <v>2020</v>
      </c>
      <c r="B4" s="7">
        <f>C3+D3</f>
        <v>59162.579999999987</v>
      </c>
      <c r="C4" s="7">
        <f>'My Money'!H34</f>
        <v>62621.47</v>
      </c>
      <c r="D4" s="7">
        <f t="shared" si="0"/>
        <v>19882.780000000006</v>
      </c>
    </row>
    <row r="5" spans="1:4" x14ac:dyDescent="0.15">
      <c r="A5" s="17">
        <f t="shared" si="1"/>
        <v>2021</v>
      </c>
      <c r="B5" s="7">
        <f t="shared" ref="B5:B8" si="2">C4+D4</f>
        <v>82504.25</v>
      </c>
      <c r="C5" s="7">
        <f>'My Money'!H46</f>
        <v>91258.069999999992</v>
      </c>
      <c r="D5" s="7">
        <f t="shared" si="0"/>
        <v>28636.599999999991</v>
      </c>
    </row>
    <row r="6" spans="1:4" x14ac:dyDescent="0.15">
      <c r="A6" s="17">
        <f t="shared" si="1"/>
        <v>2022</v>
      </c>
      <c r="B6" s="7">
        <f t="shared" si="2"/>
        <v>119894.66999999998</v>
      </c>
      <c r="C6" s="7">
        <f>'My Money'!H58</f>
        <v>100391.31</v>
      </c>
      <c r="D6" s="15">
        <f>C6-C5</f>
        <v>9133.2400000000052</v>
      </c>
    </row>
    <row r="7" spans="1:4" x14ac:dyDescent="0.15">
      <c r="A7" s="17">
        <v>2023</v>
      </c>
      <c r="B7" s="7">
        <f t="shared" si="2"/>
        <v>109524.55</v>
      </c>
      <c r="C7" s="7">
        <f>'My Money'!H70</f>
        <v>134680.65000000002</v>
      </c>
      <c r="D7" s="7">
        <f>C7-C6</f>
        <v>34289.340000000026</v>
      </c>
    </row>
    <row r="8" spans="1:4" x14ac:dyDescent="0.15">
      <c r="A8" s="18">
        <v>2024</v>
      </c>
      <c r="B8" s="7">
        <f t="shared" si="2"/>
        <v>168969.99000000005</v>
      </c>
      <c r="C8" s="7">
        <f>'My Money'!H82</f>
        <v>0</v>
      </c>
      <c r="D8" s="15">
        <f>C8-C7</f>
        <v>-134680.65000000002</v>
      </c>
    </row>
    <row r="12" spans="1:4" x14ac:dyDescent="0.15">
      <c r="A12" s="16"/>
    </row>
  </sheetData>
  <conditionalFormatting sqref="C2:C8">
    <cfRule type="cellIs" dxfId="1" priority="4" operator="lessThanOrEqual">
      <formula>$B$3</formula>
    </cfRule>
    <cfRule type="cellIs" dxfId="0" priority="6" operator="greaterThan">
      <formula>$B$3</formula>
    </cfRule>
  </conditionalFormatting>
  <conditionalFormatting sqref="D2:D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CA0F-B4F0-4540-A00D-3D5E32676838}">
  <dimension ref="A1:D30"/>
  <sheetViews>
    <sheetView workbookViewId="0">
      <selection activeCell="A4" sqref="A4"/>
    </sheetView>
  </sheetViews>
  <sheetFormatPr baseColWidth="10" defaultColWidth="10.6640625" defaultRowHeight="13" x14ac:dyDescent="0.15"/>
  <cols>
    <col min="2" max="2" width="12.6640625" customWidth="1"/>
    <col min="3" max="3" width="15.83203125" customWidth="1"/>
  </cols>
  <sheetData>
    <row r="1" spans="1:4" ht="14" x14ac:dyDescent="0.15">
      <c r="A1" s="3" t="str">
        <f>'My Money'!B1</f>
        <v xml:space="preserve"> Cash </v>
      </c>
      <c r="B1" t="str">
        <f>'Raw Data'!B1</f>
        <v>Cash</v>
      </c>
      <c r="C1" cm="1">
        <f t="array" ref="C1">LOOKUP(2,1/('Raw Data'!B:B&lt;&gt;""),'Raw Data'!B:B)</f>
        <v>16555.97</v>
      </c>
      <c r="D1" s="3"/>
    </row>
    <row r="2" spans="1:4" ht="14" x14ac:dyDescent="0.15">
      <c r="A2" t="str">
        <f>'My Money'!C1</f>
        <v xml:space="preserve"> Stocks </v>
      </c>
      <c r="B2" t="str">
        <f>'Raw Data'!C1</f>
        <v>Stocks</v>
      </c>
      <c r="C2" cm="1">
        <f t="array" ref="C2">LOOKUP(2,1/('Raw Data'!C:C&lt;&gt;""),'Raw Data'!C:C)</f>
        <v>98330.91</v>
      </c>
      <c r="D2" s="3"/>
    </row>
    <row r="3" spans="1:4" ht="14" x14ac:dyDescent="0.15">
      <c r="A3" t="str">
        <f>'My Money'!D1</f>
        <v xml:space="preserve"> Crypto </v>
      </c>
      <c r="B3" t="str">
        <f>'Raw Data'!D1</f>
        <v>Crypto</v>
      </c>
      <c r="C3" cm="1">
        <f t="array" ref="C3">LOOKUP(2,1/('Raw Data'!D:D&lt;&gt;""),'Raw Data'!D:D)</f>
        <v>22283.79</v>
      </c>
      <c r="D3" s="3"/>
    </row>
    <row r="4" spans="1:4" ht="14" x14ac:dyDescent="0.15">
      <c r="A4" t="str">
        <f>'My Money'!G1</f>
        <v>Blocked</v>
      </c>
      <c r="B4" t="str">
        <f>'Raw Data'!E1</f>
        <v>Blocked</v>
      </c>
      <c r="C4" cm="1">
        <f t="array" ref="C4">LOOKUP(2,1/('Raw Data'!E:E&lt;&gt;""),'Raw Data'!E:E)</f>
        <v>0</v>
      </c>
      <c r="D4" s="3"/>
    </row>
    <row r="5" spans="1:4" x14ac:dyDescent="0.15">
      <c r="D5" s="3"/>
    </row>
    <row r="8" spans="1:4" ht="14" x14ac:dyDescent="0.15">
      <c r="A8" t="str">
        <f>'My Money'!H1</f>
        <v>Total</v>
      </c>
      <c r="C8" cm="1">
        <f t="array" ref="C8">LOOKUP(2,1/('My Money'!H:H&lt;&gt;"")/('My Money'!H:H&lt;&gt;"-"),'My Money'!H:H)</f>
        <v>165670.67000000004</v>
      </c>
    </row>
    <row r="16" spans="1:4" x14ac:dyDescent="0.15">
      <c r="C16" s="7"/>
    </row>
    <row r="17" spans="3:3" x14ac:dyDescent="0.15">
      <c r="C17" s="7"/>
    </row>
    <row r="18" spans="3:3" x14ac:dyDescent="0.15">
      <c r="C18" s="7"/>
    </row>
    <row r="19" spans="3:3" x14ac:dyDescent="0.15">
      <c r="C19" s="7"/>
    </row>
    <row r="20" spans="3:3" x14ac:dyDescent="0.15">
      <c r="C20" s="7"/>
    </row>
    <row r="21" spans="3:3" x14ac:dyDescent="0.15">
      <c r="C21" s="7"/>
    </row>
    <row r="22" spans="3:3" x14ac:dyDescent="0.15">
      <c r="C22" s="7"/>
    </row>
    <row r="23" spans="3:3" x14ac:dyDescent="0.15">
      <c r="C23" s="7"/>
    </row>
    <row r="24" spans="3:3" x14ac:dyDescent="0.15">
      <c r="C24" s="7"/>
    </row>
    <row r="25" spans="3:3" x14ac:dyDescent="0.15">
      <c r="C25" s="7"/>
    </row>
    <row r="26" spans="3:3" x14ac:dyDescent="0.15">
      <c r="C26" s="7"/>
    </row>
    <row r="27" spans="3:3" x14ac:dyDescent="0.15">
      <c r="C27" s="7"/>
    </row>
    <row r="28" spans="3:3" x14ac:dyDescent="0.15">
      <c r="C28" s="7"/>
    </row>
    <row r="29" spans="3:3" x14ac:dyDescent="0.15">
      <c r="C29" s="7"/>
    </row>
    <row r="30" spans="3:3" x14ac:dyDescent="0.15">
      <c r="C3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F333F-C8EE-444D-A918-4517B8BE8CBE}">
  <dimension ref="A1:E86"/>
  <sheetViews>
    <sheetView topLeftCell="A37" zoomScale="101" zoomScaleNormal="100" workbookViewId="0">
      <selection activeCell="A75" sqref="A75"/>
    </sheetView>
  </sheetViews>
  <sheetFormatPr baseColWidth="10" defaultColWidth="10.83203125" defaultRowHeight="13" x14ac:dyDescent="0.15"/>
  <cols>
    <col min="1" max="1" width="7.1640625" bestFit="1" customWidth="1"/>
    <col min="2" max="4" width="8.6640625" bestFit="1" customWidth="1"/>
    <col min="5" max="5" width="7.1640625" bestFit="1" customWidth="1"/>
    <col min="6" max="6" width="4.1640625" bestFit="1" customWidth="1"/>
    <col min="7" max="7" width="7.1640625" bestFit="1" customWidth="1"/>
  </cols>
  <sheetData>
    <row r="1" spans="1:5" ht="14" x14ac:dyDescent="0.15">
      <c r="A1" t="s">
        <v>3</v>
      </c>
      <c r="B1" t="s">
        <v>4</v>
      </c>
      <c r="C1" t="s">
        <v>1</v>
      </c>
      <c r="D1" t="s">
        <v>5</v>
      </c>
      <c r="E1" t="s">
        <v>2</v>
      </c>
    </row>
    <row r="2" spans="1:5" x14ac:dyDescent="0.15">
      <c r="A2" s="4">
        <v>43221</v>
      </c>
      <c r="B2">
        <v>15131.32</v>
      </c>
      <c r="C2">
        <v>2077.58</v>
      </c>
      <c r="D2">
        <v>3124.97</v>
      </c>
      <c r="E2">
        <v>1000</v>
      </c>
    </row>
    <row r="3" spans="1:5" x14ac:dyDescent="0.15">
      <c r="A3" s="4">
        <v>43252</v>
      </c>
      <c r="B3">
        <v>13377.56</v>
      </c>
      <c r="C3">
        <v>3983.65</v>
      </c>
      <c r="D3">
        <v>2575.81</v>
      </c>
      <c r="E3">
        <v>1000</v>
      </c>
    </row>
    <row r="4" spans="1:5" x14ac:dyDescent="0.15">
      <c r="A4" s="4">
        <v>43282</v>
      </c>
      <c r="B4">
        <v>9933.93</v>
      </c>
      <c r="C4">
        <v>9001.2900000000009</v>
      </c>
      <c r="D4">
        <v>2106.4</v>
      </c>
      <c r="E4">
        <v>1000</v>
      </c>
    </row>
    <row r="5" spans="1:5" x14ac:dyDescent="0.15">
      <c r="A5" s="4">
        <v>43313</v>
      </c>
      <c r="B5">
        <v>9840.35</v>
      </c>
      <c r="C5">
        <v>10031.31</v>
      </c>
      <c r="D5">
        <v>1907.2</v>
      </c>
      <c r="E5">
        <v>1000</v>
      </c>
    </row>
    <row r="6" spans="1:5" x14ac:dyDescent="0.15">
      <c r="A6" s="4">
        <v>43344</v>
      </c>
      <c r="B6">
        <v>11333.93</v>
      </c>
      <c r="C6">
        <v>10897.33</v>
      </c>
      <c r="D6">
        <v>1301.68</v>
      </c>
      <c r="E6">
        <v>1000</v>
      </c>
    </row>
    <row r="7" spans="1:5" x14ac:dyDescent="0.15">
      <c r="A7" s="4">
        <v>43374</v>
      </c>
      <c r="B7">
        <v>12109.3</v>
      </c>
      <c r="C7">
        <v>11666.5</v>
      </c>
      <c r="D7">
        <v>1085.1300000000001</v>
      </c>
      <c r="E7">
        <v>1000</v>
      </c>
    </row>
    <row r="8" spans="1:5" x14ac:dyDescent="0.15">
      <c r="A8" s="4">
        <v>43405</v>
      </c>
      <c r="B8">
        <v>12519.97</v>
      </c>
      <c r="C8">
        <v>10920.72</v>
      </c>
      <c r="D8">
        <v>925.73</v>
      </c>
      <c r="E8">
        <v>1000</v>
      </c>
    </row>
    <row r="9" spans="1:5" x14ac:dyDescent="0.15">
      <c r="A9" s="4">
        <v>43435</v>
      </c>
      <c r="B9">
        <v>13422.25</v>
      </c>
      <c r="C9">
        <v>11235.19</v>
      </c>
      <c r="D9">
        <v>561.57000000000005</v>
      </c>
      <c r="E9">
        <v>1000</v>
      </c>
    </row>
    <row r="10" spans="1:5" x14ac:dyDescent="0.15">
      <c r="A10" s="4">
        <v>43466</v>
      </c>
      <c r="B10">
        <v>14488.03</v>
      </c>
      <c r="C10">
        <v>10174</v>
      </c>
      <c r="D10">
        <v>652.77</v>
      </c>
      <c r="E10">
        <v>1000</v>
      </c>
    </row>
    <row r="11" spans="1:5" x14ac:dyDescent="0.15">
      <c r="A11" s="4">
        <v>43497</v>
      </c>
      <c r="B11">
        <v>16991.37</v>
      </c>
      <c r="C11">
        <v>11057.73</v>
      </c>
      <c r="D11">
        <v>521.11</v>
      </c>
      <c r="E11">
        <v>1000</v>
      </c>
    </row>
    <row r="12" spans="1:5" x14ac:dyDescent="0.15">
      <c r="A12" s="4">
        <v>43525</v>
      </c>
      <c r="B12">
        <v>14083.27</v>
      </c>
      <c r="C12">
        <v>15439.84</v>
      </c>
      <c r="D12">
        <v>629.97</v>
      </c>
      <c r="E12">
        <v>1000</v>
      </c>
    </row>
    <row r="13" spans="1:5" x14ac:dyDescent="0.15">
      <c r="A13" s="4">
        <v>43556</v>
      </c>
      <c r="B13">
        <v>10523.69</v>
      </c>
      <c r="C13">
        <v>16379.9</v>
      </c>
      <c r="D13">
        <v>690.62</v>
      </c>
      <c r="E13">
        <v>2950</v>
      </c>
    </row>
    <row r="14" spans="1:5" x14ac:dyDescent="0.15">
      <c r="A14" s="4">
        <v>43586</v>
      </c>
      <c r="B14">
        <v>10210.41</v>
      </c>
      <c r="C14">
        <v>17965.990000000002</v>
      </c>
      <c r="D14">
        <v>744.52</v>
      </c>
      <c r="E14">
        <v>1950</v>
      </c>
    </row>
    <row r="15" spans="1:5" x14ac:dyDescent="0.15">
      <c r="A15" s="4">
        <v>43617</v>
      </c>
      <c r="B15">
        <v>10177.23</v>
      </c>
      <c r="C15">
        <v>17930.71</v>
      </c>
      <c r="D15">
        <v>1234.3</v>
      </c>
      <c r="E15">
        <v>1950</v>
      </c>
    </row>
    <row r="16" spans="1:5" x14ac:dyDescent="0.15">
      <c r="A16" s="4">
        <v>43647</v>
      </c>
      <c r="B16">
        <v>12986.78</v>
      </c>
      <c r="C16">
        <v>18498.34</v>
      </c>
      <c r="D16">
        <v>1351.39</v>
      </c>
      <c r="E16">
        <v>1950</v>
      </c>
    </row>
    <row r="17" spans="1:5" x14ac:dyDescent="0.15">
      <c r="A17" s="4">
        <v>43678</v>
      </c>
      <c r="B17">
        <v>13029.61</v>
      </c>
      <c r="C17">
        <v>19161.87</v>
      </c>
      <c r="D17">
        <v>1027.5999999999999</v>
      </c>
      <c r="E17">
        <v>1950</v>
      </c>
    </row>
    <row r="18" spans="1:5" x14ac:dyDescent="0.15">
      <c r="A18" s="4">
        <v>43709</v>
      </c>
      <c r="B18">
        <v>16327.6</v>
      </c>
      <c r="C18">
        <v>18629.330000000002</v>
      </c>
      <c r="D18">
        <v>818.75</v>
      </c>
      <c r="E18">
        <v>1950</v>
      </c>
    </row>
    <row r="19" spans="1:5" x14ac:dyDescent="0.15">
      <c r="A19" s="4">
        <v>43739</v>
      </c>
      <c r="B19">
        <v>19851.43</v>
      </c>
      <c r="C19">
        <v>19265.21</v>
      </c>
      <c r="D19">
        <v>867.25</v>
      </c>
      <c r="E19">
        <v>1950</v>
      </c>
    </row>
    <row r="20" spans="1:5" x14ac:dyDescent="0.15">
      <c r="A20" s="4">
        <v>43770</v>
      </c>
      <c r="B20">
        <v>18516.47</v>
      </c>
      <c r="C20">
        <v>19452.52</v>
      </c>
      <c r="D20">
        <v>872.43</v>
      </c>
      <c r="E20">
        <v>1950</v>
      </c>
    </row>
    <row r="21" spans="1:5" x14ac:dyDescent="0.15">
      <c r="A21" s="4">
        <v>43800</v>
      </c>
      <c r="B21">
        <v>16942.349999999999</v>
      </c>
      <c r="C21">
        <v>19827.169999999998</v>
      </c>
      <c r="D21">
        <v>723.63</v>
      </c>
      <c r="E21">
        <v>1950</v>
      </c>
    </row>
    <row r="22" spans="1:5" x14ac:dyDescent="0.15">
      <c r="A22" s="4">
        <v>43831</v>
      </c>
      <c r="B22">
        <v>19639.07</v>
      </c>
      <c r="C22">
        <v>20502.91</v>
      </c>
      <c r="D22">
        <v>646.71</v>
      </c>
      <c r="E22">
        <v>1950</v>
      </c>
    </row>
    <row r="23" spans="1:5" x14ac:dyDescent="0.15">
      <c r="A23" s="4">
        <v>43862</v>
      </c>
      <c r="B23">
        <v>18307.38</v>
      </c>
      <c r="C23">
        <v>20884.810000000001</v>
      </c>
      <c r="D23">
        <v>922.85</v>
      </c>
      <c r="E23">
        <v>1950</v>
      </c>
    </row>
    <row r="24" spans="1:5" x14ac:dyDescent="0.15">
      <c r="A24" s="4">
        <v>43891</v>
      </c>
      <c r="B24">
        <v>16198.57</v>
      </c>
      <c r="C24">
        <v>19034.54</v>
      </c>
      <c r="D24">
        <v>1091.68</v>
      </c>
      <c r="E24">
        <v>1950</v>
      </c>
    </row>
    <row r="25" spans="1:5" x14ac:dyDescent="0.15">
      <c r="A25" s="4">
        <v>43922</v>
      </c>
      <c r="B25">
        <v>14852.19</v>
      </c>
      <c r="C25">
        <v>16517.47</v>
      </c>
      <c r="D25">
        <v>652.86</v>
      </c>
      <c r="E25">
        <v>1950</v>
      </c>
    </row>
    <row r="26" spans="1:5" x14ac:dyDescent="0.15">
      <c r="A26" s="4">
        <v>43952</v>
      </c>
      <c r="B26">
        <v>16344.09</v>
      </c>
      <c r="C26">
        <v>18597.98</v>
      </c>
      <c r="D26">
        <v>1047.29</v>
      </c>
      <c r="E26">
        <v>1950</v>
      </c>
    </row>
    <row r="27" spans="1:5" x14ac:dyDescent="0.15">
      <c r="A27" s="4">
        <v>43983</v>
      </c>
      <c r="B27">
        <v>18152</v>
      </c>
      <c r="C27">
        <v>18928.79</v>
      </c>
      <c r="D27">
        <v>1123.24</v>
      </c>
      <c r="E27">
        <v>1950</v>
      </c>
    </row>
    <row r="28" spans="1:5" x14ac:dyDescent="0.15">
      <c r="A28" s="4">
        <v>44013</v>
      </c>
      <c r="B28">
        <v>19299.580000000002</v>
      </c>
      <c r="C28">
        <v>19185.43</v>
      </c>
      <c r="D28">
        <v>1049.0899999999999</v>
      </c>
      <c r="E28">
        <v>800</v>
      </c>
    </row>
    <row r="29" spans="1:5" x14ac:dyDescent="0.15">
      <c r="A29" s="4">
        <v>44044</v>
      </c>
      <c r="B29">
        <v>25763</v>
      </c>
      <c r="C29">
        <v>19235.37</v>
      </c>
      <c r="D29">
        <v>1659.48</v>
      </c>
      <c r="E29">
        <v>800</v>
      </c>
    </row>
    <row r="30" spans="1:5" x14ac:dyDescent="0.15">
      <c r="A30" s="4">
        <v>44075</v>
      </c>
      <c r="B30">
        <v>27008.75</v>
      </c>
      <c r="C30">
        <v>20030.509999999998</v>
      </c>
      <c r="D30">
        <v>2022.95</v>
      </c>
      <c r="E30">
        <v>800</v>
      </c>
    </row>
    <row r="31" spans="1:5" x14ac:dyDescent="0.15">
      <c r="A31" s="4">
        <v>44105</v>
      </c>
      <c r="B31">
        <v>28396.1</v>
      </c>
      <c r="C31">
        <v>19857.55</v>
      </c>
      <c r="D31">
        <v>1617.18</v>
      </c>
      <c r="E31">
        <v>800</v>
      </c>
    </row>
    <row r="32" spans="1:5" x14ac:dyDescent="0.15">
      <c r="A32" s="4">
        <v>44136</v>
      </c>
      <c r="B32">
        <v>29180.44</v>
      </c>
      <c r="C32">
        <v>19582.97</v>
      </c>
      <c r="D32">
        <v>1730.09</v>
      </c>
      <c r="E32">
        <v>800</v>
      </c>
    </row>
    <row r="33" spans="1:5" x14ac:dyDescent="0.15">
      <c r="A33" s="4">
        <v>44166</v>
      </c>
      <c r="B33">
        <v>30722.53</v>
      </c>
      <c r="C33">
        <v>21986.26</v>
      </c>
      <c r="D33">
        <v>2662.39</v>
      </c>
      <c r="E33">
        <v>800</v>
      </c>
    </row>
    <row r="34" spans="1:5" x14ac:dyDescent="0.15">
      <c r="A34" s="4">
        <v>44197</v>
      </c>
      <c r="B34">
        <v>33341</v>
      </c>
      <c r="C34">
        <v>24290.68</v>
      </c>
      <c r="D34">
        <v>4189.79</v>
      </c>
      <c r="E34">
        <v>800</v>
      </c>
    </row>
    <row r="35" spans="1:5" x14ac:dyDescent="0.15">
      <c r="A35" s="4">
        <v>44228</v>
      </c>
      <c r="B35">
        <v>33489.910000000003</v>
      </c>
      <c r="C35">
        <v>25838.639999999999</v>
      </c>
      <c r="D35">
        <v>6618.56</v>
      </c>
      <c r="E35">
        <v>800</v>
      </c>
    </row>
    <row r="36" spans="1:5" x14ac:dyDescent="0.15">
      <c r="A36" s="4">
        <v>44256</v>
      </c>
      <c r="B36">
        <v>33619.050000000003</v>
      </c>
      <c r="C36">
        <v>27125.83</v>
      </c>
      <c r="D36">
        <v>7768.4</v>
      </c>
      <c r="E36">
        <v>800</v>
      </c>
    </row>
    <row r="37" spans="1:5" x14ac:dyDescent="0.15">
      <c r="A37" s="4">
        <v>44287</v>
      </c>
      <c r="B37">
        <v>35580.629999999997</v>
      </c>
      <c r="C37">
        <v>28640.63</v>
      </c>
      <c r="D37">
        <v>7951.38</v>
      </c>
      <c r="E37">
        <v>0</v>
      </c>
    </row>
    <row r="38" spans="1:5" x14ac:dyDescent="0.15">
      <c r="A38" s="4">
        <v>44317</v>
      </c>
      <c r="B38">
        <v>35393.24</v>
      </c>
      <c r="C38">
        <v>31297.42</v>
      </c>
      <c r="D38">
        <v>8054.46</v>
      </c>
      <c r="E38">
        <v>0</v>
      </c>
    </row>
    <row r="39" spans="1:5" x14ac:dyDescent="0.15">
      <c r="A39" s="4">
        <v>44348</v>
      </c>
      <c r="B39">
        <v>36400.32</v>
      </c>
      <c r="C39">
        <v>31333.49</v>
      </c>
      <c r="D39">
        <v>7828.05</v>
      </c>
      <c r="E39">
        <v>300</v>
      </c>
    </row>
    <row r="40" spans="1:5" x14ac:dyDescent="0.15">
      <c r="A40" s="4">
        <v>44378</v>
      </c>
      <c r="B40">
        <v>36650.94</v>
      </c>
      <c r="C40">
        <v>33619.72</v>
      </c>
      <c r="D40">
        <v>7822.14</v>
      </c>
      <c r="E40">
        <v>300</v>
      </c>
    </row>
    <row r="41" spans="1:5" x14ac:dyDescent="0.15">
      <c r="A41" s="4">
        <v>44409</v>
      </c>
      <c r="B41">
        <v>36662.85</v>
      </c>
      <c r="C41">
        <v>35460.699999999997</v>
      </c>
      <c r="D41">
        <v>9142.64</v>
      </c>
      <c r="E41">
        <v>300</v>
      </c>
    </row>
    <row r="42" spans="1:5" x14ac:dyDescent="0.15">
      <c r="A42" s="4">
        <v>44440</v>
      </c>
      <c r="B42">
        <v>35386.160000000003</v>
      </c>
      <c r="C42">
        <v>37363.68</v>
      </c>
      <c r="D42">
        <v>9802.58</v>
      </c>
      <c r="E42">
        <v>300</v>
      </c>
    </row>
    <row r="43" spans="1:5" x14ac:dyDescent="0.15">
      <c r="A43" s="4">
        <v>44470</v>
      </c>
      <c r="B43">
        <v>33341.800000000003</v>
      </c>
      <c r="C43">
        <v>38977.43</v>
      </c>
      <c r="D43">
        <v>9373.07</v>
      </c>
      <c r="E43">
        <v>300</v>
      </c>
    </row>
    <row r="44" spans="1:5" x14ac:dyDescent="0.15">
      <c r="A44" s="4">
        <v>44507</v>
      </c>
      <c r="B44">
        <v>31235.23</v>
      </c>
      <c r="C44">
        <v>43751.77</v>
      </c>
      <c r="D44">
        <v>10588.52</v>
      </c>
      <c r="E44">
        <v>300</v>
      </c>
    </row>
    <row r="45" spans="1:5" x14ac:dyDescent="0.15">
      <c r="A45" s="4">
        <v>44532</v>
      </c>
      <c r="B45">
        <v>30031.4</v>
      </c>
      <c r="C45">
        <v>44193.46</v>
      </c>
      <c r="D45">
        <v>9751.3799999999992</v>
      </c>
      <c r="E45">
        <v>300</v>
      </c>
    </row>
    <row r="46" spans="1:5" x14ac:dyDescent="0.15">
      <c r="A46" s="4">
        <v>44563</v>
      </c>
      <c r="B46">
        <v>34379.53</v>
      </c>
      <c r="C46">
        <v>45783.89</v>
      </c>
      <c r="D46">
        <v>10794.65</v>
      </c>
      <c r="E46">
        <v>300</v>
      </c>
    </row>
    <row r="47" spans="1:5" x14ac:dyDescent="0.15">
      <c r="A47" s="4">
        <v>44593</v>
      </c>
      <c r="B47">
        <v>35077.089999999997</v>
      </c>
      <c r="C47">
        <v>44804.06</v>
      </c>
      <c r="D47">
        <v>10008.06</v>
      </c>
      <c r="E47">
        <v>300</v>
      </c>
    </row>
    <row r="48" spans="1:5" x14ac:dyDescent="0.15">
      <c r="A48" s="4">
        <v>44621</v>
      </c>
      <c r="B48">
        <v>33953.47</v>
      </c>
      <c r="C48">
        <v>45747.39</v>
      </c>
      <c r="D48">
        <v>9963.23</v>
      </c>
      <c r="E48">
        <v>300</v>
      </c>
    </row>
    <row r="49" spans="1:5" x14ac:dyDescent="0.15">
      <c r="A49" s="4">
        <v>44652</v>
      </c>
      <c r="B49">
        <v>33980</v>
      </c>
      <c r="C49">
        <v>49116.72</v>
      </c>
      <c r="D49">
        <v>10959.88</v>
      </c>
      <c r="E49">
        <v>300</v>
      </c>
    </row>
    <row r="50" spans="1:5" x14ac:dyDescent="0.15">
      <c r="A50" s="4">
        <v>44683</v>
      </c>
      <c r="B50">
        <v>34089.14</v>
      </c>
      <c r="C50">
        <v>48048.99</v>
      </c>
      <c r="D50">
        <v>10685.19</v>
      </c>
      <c r="E50">
        <v>300</v>
      </c>
    </row>
    <row r="51" spans="1:5" x14ac:dyDescent="0.15">
      <c r="A51" s="4">
        <v>44713</v>
      </c>
      <c r="B51">
        <v>34122.559999999998</v>
      </c>
      <c r="C51">
        <v>48445.73</v>
      </c>
      <c r="D51">
        <v>9846.25</v>
      </c>
      <c r="E51">
        <v>300</v>
      </c>
    </row>
    <row r="52" spans="1:5" x14ac:dyDescent="0.15">
      <c r="A52" s="4">
        <v>44746</v>
      </c>
      <c r="B52">
        <v>32814.61</v>
      </c>
      <c r="C52">
        <v>48276.54</v>
      </c>
      <c r="D52">
        <v>9275.18</v>
      </c>
      <c r="E52">
        <v>300</v>
      </c>
    </row>
    <row r="53" spans="1:5" x14ac:dyDescent="0.15">
      <c r="A53" s="4">
        <v>44774</v>
      </c>
      <c r="B53">
        <v>33184.639999999999</v>
      </c>
      <c r="C53">
        <v>53560.62</v>
      </c>
      <c r="D53">
        <v>11530.5</v>
      </c>
      <c r="E53">
        <v>300</v>
      </c>
    </row>
    <row r="54" spans="1:5" x14ac:dyDescent="0.15">
      <c r="A54" s="4">
        <v>44805</v>
      </c>
      <c r="B54">
        <v>32685.94</v>
      </c>
      <c r="C54">
        <v>53599.31</v>
      </c>
      <c r="D54">
        <v>11301.64</v>
      </c>
      <c r="E54">
        <v>300</v>
      </c>
    </row>
    <row r="55" spans="1:5" x14ac:dyDescent="0.15">
      <c r="A55" s="4">
        <v>44835</v>
      </c>
      <c r="B55">
        <v>32566.3</v>
      </c>
      <c r="C55">
        <v>51561.84</v>
      </c>
      <c r="D55">
        <v>11245.9</v>
      </c>
      <c r="E55">
        <v>300</v>
      </c>
    </row>
    <row r="56" spans="1:5" x14ac:dyDescent="0.15">
      <c r="A56" s="4">
        <v>44866</v>
      </c>
      <c r="B56">
        <v>32602.03</v>
      </c>
      <c r="C56">
        <v>55236.91</v>
      </c>
      <c r="D56">
        <v>11759.55</v>
      </c>
      <c r="E56">
        <v>300</v>
      </c>
    </row>
    <row r="57" spans="1:5" x14ac:dyDescent="0.15">
      <c r="A57" s="4">
        <v>44896</v>
      </c>
      <c r="B57">
        <v>32560.7</v>
      </c>
      <c r="C57">
        <v>55171.62</v>
      </c>
      <c r="D57">
        <v>11118.58</v>
      </c>
      <c r="E57">
        <v>300</v>
      </c>
    </row>
    <row r="58" spans="1:5" x14ac:dyDescent="0.15">
      <c r="A58" s="4">
        <v>44927</v>
      </c>
      <c r="B58">
        <v>35632.82</v>
      </c>
      <c r="C58">
        <v>53639.77</v>
      </c>
      <c r="D58">
        <v>10818.72</v>
      </c>
      <c r="E58">
        <v>300</v>
      </c>
    </row>
    <row r="59" spans="1:5" x14ac:dyDescent="0.15">
      <c r="A59" s="4">
        <v>44958</v>
      </c>
      <c r="B59">
        <v>35662.29</v>
      </c>
      <c r="C59">
        <v>57352.88</v>
      </c>
      <c r="D59">
        <v>12205.44</v>
      </c>
      <c r="E59">
        <v>300</v>
      </c>
    </row>
    <row r="60" spans="1:5" x14ac:dyDescent="0.15">
      <c r="A60" s="4">
        <v>44986</v>
      </c>
      <c r="B60">
        <v>37022.629999999997</v>
      </c>
      <c r="C60">
        <v>58416.19</v>
      </c>
      <c r="D60">
        <v>12062.52</v>
      </c>
      <c r="E60">
        <v>300</v>
      </c>
    </row>
    <row r="61" spans="1:5" x14ac:dyDescent="0.15">
      <c r="A61" s="4">
        <v>45017</v>
      </c>
      <c r="B61">
        <v>10740.43</v>
      </c>
      <c r="C61">
        <v>58939.75</v>
      </c>
      <c r="D61">
        <v>12903.8</v>
      </c>
      <c r="E61">
        <v>300</v>
      </c>
    </row>
    <row r="62" spans="1:5" x14ac:dyDescent="0.15">
      <c r="A62" s="4">
        <v>45049</v>
      </c>
      <c r="B62">
        <v>15554.44</v>
      </c>
      <c r="C62">
        <v>59613.96</v>
      </c>
      <c r="D62">
        <v>12836.66</v>
      </c>
      <c r="E62">
        <v>300</v>
      </c>
    </row>
    <row r="63" spans="1:5" x14ac:dyDescent="0.15">
      <c r="A63" s="4">
        <v>45079</v>
      </c>
      <c r="B63">
        <v>16414.13</v>
      </c>
      <c r="C63">
        <v>61782.62</v>
      </c>
      <c r="D63">
        <v>12480.7</v>
      </c>
      <c r="E63">
        <v>0</v>
      </c>
    </row>
    <row r="64" spans="1:5" x14ac:dyDescent="0.15">
      <c r="A64" s="4">
        <v>45111</v>
      </c>
      <c r="B64">
        <v>17425.8</v>
      </c>
      <c r="C64">
        <v>65401.279999999999</v>
      </c>
      <c r="D64">
        <v>13644.72</v>
      </c>
      <c r="E64">
        <v>0</v>
      </c>
    </row>
    <row r="65" spans="1:5" x14ac:dyDescent="0.15">
      <c r="A65" s="4">
        <v>45141</v>
      </c>
      <c r="B65">
        <v>18791.73</v>
      </c>
      <c r="C65">
        <v>67098.100000000006</v>
      </c>
      <c r="D65">
        <v>13307.38</v>
      </c>
      <c r="E65">
        <v>0</v>
      </c>
    </row>
    <row r="66" spans="1:5" x14ac:dyDescent="0.15">
      <c r="A66" s="4">
        <v>45171</v>
      </c>
      <c r="B66">
        <v>18662.22</v>
      </c>
      <c r="C66">
        <v>68443.44</v>
      </c>
      <c r="D66">
        <v>12524.72</v>
      </c>
      <c r="E66">
        <v>0</v>
      </c>
    </row>
    <row r="67" spans="1:5" x14ac:dyDescent="0.15">
      <c r="A67" s="4">
        <v>45202</v>
      </c>
      <c r="B67">
        <v>19339.84</v>
      </c>
      <c r="C67">
        <v>68483.179999999993</v>
      </c>
      <c r="D67">
        <v>13117.39</v>
      </c>
      <c r="E67">
        <v>0</v>
      </c>
    </row>
    <row r="68" spans="1:5" x14ac:dyDescent="0.15">
      <c r="A68" s="4">
        <v>45233</v>
      </c>
      <c r="B68">
        <v>18573.8</v>
      </c>
      <c r="C68">
        <v>69131.03</v>
      </c>
      <c r="D68">
        <v>14925.8</v>
      </c>
      <c r="E68">
        <v>0</v>
      </c>
    </row>
    <row r="69" spans="1:5" x14ac:dyDescent="0.15">
      <c r="A69" s="4">
        <v>45269</v>
      </c>
      <c r="B69">
        <v>18598.18</v>
      </c>
      <c r="C69">
        <v>72604.42</v>
      </c>
      <c r="D69">
        <v>17437</v>
      </c>
      <c r="E69">
        <v>0</v>
      </c>
    </row>
    <row r="70" spans="1:5" x14ac:dyDescent="0.15">
      <c r="A70" s="4">
        <v>45294</v>
      </c>
      <c r="B70">
        <v>14316.1</v>
      </c>
      <c r="C70">
        <v>74137.070000000007</v>
      </c>
      <c r="D70">
        <v>17727.48</v>
      </c>
      <c r="E70">
        <v>0</v>
      </c>
    </row>
    <row r="71" spans="1:5" x14ac:dyDescent="0.15">
      <c r="A71" s="4">
        <v>45324</v>
      </c>
      <c r="B71">
        <v>13224.63</v>
      </c>
      <c r="C71">
        <v>78800.98</v>
      </c>
      <c r="D71">
        <v>17103.310000000001</v>
      </c>
      <c r="E71">
        <v>0</v>
      </c>
    </row>
    <row r="72" spans="1:5" x14ac:dyDescent="0.15">
      <c r="A72" s="4">
        <v>45353</v>
      </c>
      <c r="B72">
        <v>12591.02</v>
      </c>
      <c r="C72">
        <v>83711.03</v>
      </c>
      <c r="D72">
        <v>22549.61</v>
      </c>
      <c r="E72">
        <v>0</v>
      </c>
    </row>
    <row r="73" spans="1:5" x14ac:dyDescent="0.15">
      <c r="A73" s="4">
        <v>45385</v>
      </c>
      <c r="B73">
        <v>14241.76</v>
      </c>
      <c r="C73">
        <v>87179.59</v>
      </c>
      <c r="D73">
        <v>23486.85</v>
      </c>
      <c r="E73">
        <v>0</v>
      </c>
    </row>
    <row r="74" spans="1:5" x14ac:dyDescent="0.15">
      <c r="A74" s="4">
        <v>45416</v>
      </c>
      <c r="B74">
        <v>14245.14</v>
      </c>
      <c r="C74">
        <v>87323.9</v>
      </c>
      <c r="D74">
        <v>22158.26</v>
      </c>
      <c r="E74">
        <v>0</v>
      </c>
    </row>
    <row r="75" spans="1:5" x14ac:dyDescent="0.15">
      <c r="A75" s="4">
        <v>45444</v>
      </c>
      <c r="B75">
        <v>15783.57</v>
      </c>
      <c r="C75">
        <v>89151.48</v>
      </c>
      <c r="D75">
        <v>23782.86</v>
      </c>
      <c r="E75">
        <v>0</v>
      </c>
    </row>
    <row r="76" spans="1:5" x14ac:dyDescent="0.15">
      <c r="A76" s="4">
        <v>45476</v>
      </c>
      <c r="B76">
        <v>15718.35</v>
      </c>
      <c r="C76">
        <v>95159.42</v>
      </c>
      <c r="D76">
        <v>20918.77</v>
      </c>
      <c r="E76">
        <v>0</v>
      </c>
    </row>
    <row r="77" spans="1:5" x14ac:dyDescent="0.15">
      <c r="A77" s="4">
        <v>45505</v>
      </c>
      <c r="B77">
        <v>16555.97</v>
      </c>
      <c r="C77">
        <v>98330.91</v>
      </c>
      <c r="D77">
        <v>22283.79</v>
      </c>
      <c r="E77">
        <v>0</v>
      </c>
    </row>
    <row r="78" spans="1:5" x14ac:dyDescent="0.15">
      <c r="A78" s="4"/>
    </row>
    <row r="79" spans="1:5" x14ac:dyDescent="0.15">
      <c r="A79" s="4"/>
    </row>
    <row r="80" spans="1:5" x14ac:dyDescent="0.15">
      <c r="A80" s="4"/>
    </row>
    <row r="81" spans="1:1" x14ac:dyDescent="0.15">
      <c r="A81" s="4"/>
    </row>
    <row r="82" spans="1:1" x14ac:dyDescent="0.15">
      <c r="A82" s="4"/>
    </row>
    <row r="83" spans="1:1" x14ac:dyDescent="0.15">
      <c r="A83" s="4"/>
    </row>
    <row r="84" spans="1:1" x14ac:dyDescent="0.15">
      <c r="A84" s="4"/>
    </row>
    <row r="85" spans="1:1" x14ac:dyDescent="0.15">
      <c r="A85" s="4"/>
    </row>
    <row r="86" spans="1:1" x14ac:dyDescent="0.15">
      <c r="A8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My Money</vt:lpstr>
      <vt:lpstr>Chart</vt:lpstr>
      <vt:lpstr>Year Summary</vt:lpstr>
      <vt:lpstr>Metadata</vt:lpstr>
      <vt:lpstr>Raw Data</vt:lpstr>
      <vt:lpstr>'Raw Data'!data_1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Asier García Espido</dc:creator>
  <cp:keywords/>
  <dc:description/>
  <cp:lastModifiedBy>Asier García Espido</cp:lastModifiedBy>
  <cp:revision/>
  <dcterms:created xsi:type="dcterms:W3CDTF">2020-04-03T22:47:55Z</dcterms:created>
  <dcterms:modified xsi:type="dcterms:W3CDTF">2024-08-01T21:21:24Z</dcterms:modified>
  <cp:category/>
  <cp:contentStatus/>
</cp:coreProperties>
</file>